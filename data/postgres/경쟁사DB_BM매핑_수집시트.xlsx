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안내" sheetId="1" r:id="rId5"/>
    <sheet state="visible" name="competitors" sheetId="2" r:id="rId6"/>
    <sheet state="visible" name="bm_mapping" sheetId="3" r:id="rId7"/>
  </sheets>
  <definedNames/>
  <calcPr/>
</workbook>
</file>

<file path=xl/sharedStrings.xml><?xml version="1.0" encoding="utf-8"?>
<sst xmlns="http://schemas.openxmlformats.org/spreadsheetml/2006/main" count="1532" uniqueCount="853">
  <si>
    <t>mapping_id</t>
  </si>
  <si>
    <r>
      <rPr>
        <rFont val="Arial"/>
        <b/>
        <color theme="1"/>
        <sz val="14.0"/>
      </rPr>
      <t xml:space="preserve">PREP </t>
    </r>
    <r>
      <rPr>
        <rFont val="Noto Sans CJK SC"/>
        <b/>
        <color theme="1"/>
        <sz val="14.0"/>
      </rPr>
      <t xml:space="preserve">경쟁사 </t>
    </r>
    <r>
      <rPr>
        <rFont val="Arial"/>
        <b/>
        <color theme="1"/>
        <sz val="14.0"/>
      </rPr>
      <t xml:space="preserve">DB &amp; BM </t>
    </r>
    <r>
      <rPr>
        <rFont val="Noto Sans CJK SC"/>
        <b/>
        <color theme="1"/>
        <sz val="14.0"/>
      </rPr>
      <t>매핑 수집 시트</t>
    </r>
  </si>
  <si>
    <t>competitor_id</t>
  </si>
  <si>
    <t>category_1</t>
  </si>
  <si>
    <t>category_2</t>
  </si>
  <si>
    <t>target</t>
  </si>
  <si>
    <t>name</t>
  </si>
  <si>
    <t>service_type</t>
  </si>
  <si>
    <t>bm_pattern</t>
  </si>
  <si>
    <r>
      <rPr>
        <rFont val="Noto Sans CJK SC"/>
        <color theme="1"/>
        <sz val="10.0"/>
      </rPr>
      <t>작성 기준</t>
    </r>
    <r>
      <rPr>
        <rFont val="Arial"/>
        <color theme="1"/>
        <sz val="10.0"/>
      </rPr>
      <t>: db_</t>
    </r>
    <r>
      <rPr>
        <rFont val="Noto Sans CJK SC"/>
        <color theme="1"/>
        <sz val="10.0"/>
      </rPr>
      <t>구축</t>
    </r>
    <r>
      <rPr>
        <rFont val="Arial"/>
        <color theme="1"/>
        <sz val="10.0"/>
      </rPr>
      <t>_</t>
    </r>
    <r>
      <rPr>
        <rFont val="Noto Sans CJK SC"/>
        <color theme="1"/>
        <sz val="10.0"/>
      </rPr>
      <t>설계서</t>
    </r>
    <r>
      <rPr>
        <rFont val="Arial"/>
        <color theme="1"/>
        <sz val="10.0"/>
      </rPr>
      <t>.md V3.1 (2026-07-20) §3.5, §3.6, §6.3</t>
    </r>
  </si>
  <si>
    <t>frequency_score</t>
  </si>
  <si>
    <t>frequency_score_global</t>
  </si>
  <si>
    <t>precedent_level</t>
  </si>
  <si>
    <t>contributing_competitor_ids</t>
  </si>
  <si>
    <t>evidence_id</t>
  </si>
  <si>
    <t>last_computed_at</t>
  </si>
  <si>
    <t>country</t>
  </si>
  <si>
    <r>
      <rPr>
        <rFont val="Arial"/>
        <b/>
        <color theme="1"/>
        <sz val="12.0"/>
      </rPr>
      <t>[</t>
    </r>
    <r>
      <rPr>
        <rFont val="Noto Sans CJK SC"/>
        <b/>
        <color theme="1"/>
        <sz val="12.0"/>
      </rPr>
      <t>시트 구성</t>
    </r>
    <r>
      <rPr>
        <rFont val="Arial"/>
        <b/>
        <color theme="1"/>
        <sz val="12.0"/>
      </rPr>
      <t>]</t>
    </r>
  </si>
  <si>
    <t>tier</t>
  </si>
  <si>
    <t>data_type</t>
  </si>
  <si>
    <r>
      <rPr>
        <rFont val="Arial"/>
        <color theme="1"/>
        <sz val="10.0"/>
      </rPr>
      <t xml:space="preserve">① competitors — </t>
    </r>
    <r>
      <rPr>
        <rFont val="Noto Sans CJK SC"/>
        <color theme="1"/>
        <sz val="10.0"/>
      </rPr>
      <t>경쟁사 직접 조사 데이터를 입력하는 시트</t>
    </r>
    <r>
      <rPr>
        <rFont val="Arial"/>
        <color theme="1"/>
        <sz val="10.0"/>
      </rPr>
      <t xml:space="preserve">. </t>
    </r>
    <r>
      <rPr>
        <rFont val="Noto Sans CJK SC"/>
        <color theme="1"/>
        <sz val="10.0"/>
      </rPr>
      <t>노란색 셀만 채우면 됨</t>
    </r>
    <r>
      <rPr>
        <rFont val="Arial"/>
        <color theme="1"/>
        <sz val="10.0"/>
      </rPr>
      <t>.</t>
    </r>
  </si>
  <si>
    <t>core_tags</t>
  </si>
  <si>
    <t>sub_tags</t>
  </si>
  <si>
    <r>
      <rPr>
        <rFont val="Arial"/>
        <color theme="1"/>
        <sz val="10.0"/>
      </rPr>
      <t>② bm_mapping — competitors</t>
    </r>
    <r>
      <rPr>
        <rFont val="Noto Sans CJK SC"/>
        <color theme="1"/>
        <sz val="10.0"/>
      </rPr>
      <t xml:space="preserve">에 입력된 </t>
    </r>
    <r>
      <rPr>
        <rFont val="Arial"/>
        <color theme="1"/>
        <sz val="10.0"/>
      </rPr>
      <t xml:space="preserve">(category_1, category_2, target, service_type, bm_pattern) </t>
    </r>
    <r>
      <rPr>
        <rFont val="Noto Sans CJK SC"/>
        <color theme="1"/>
        <sz val="10.0"/>
      </rPr>
      <t>고유 조합을 자동으로 찾아</t>
    </r>
  </si>
  <si>
    <t>note</t>
  </si>
  <si>
    <t>created_at</t>
  </si>
  <si>
    <r>
      <rPr>
        <rFont val="Arial"/>
        <color theme="1"/>
        <sz val="10.0"/>
      </rPr>
      <t xml:space="preserve">   frequency_score/precedent_level/contributing_competitor_ids</t>
    </r>
    <r>
      <rPr>
        <rFont val="Noto Sans CJK SC"/>
        <color theme="1"/>
        <sz val="10.0"/>
      </rPr>
      <t>까지 전부 수식으로 채우는 시트</t>
    </r>
    <r>
      <rPr>
        <rFont val="Arial"/>
        <color theme="1"/>
        <sz val="10.0"/>
      </rPr>
      <t xml:space="preserve">. </t>
    </r>
    <r>
      <rPr>
        <rFont val="Noto Sans CJK SC"/>
        <color theme="1"/>
        <sz val="10.0"/>
      </rPr>
      <t>이 시트에는 직접 입력할 셀이 없음</t>
    </r>
    <r>
      <rPr>
        <rFont val="Arial"/>
        <color theme="1"/>
        <sz val="10.0"/>
      </rPr>
      <t>.</t>
    </r>
  </si>
  <si>
    <t>updated_at</t>
  </si>
  <si>
    <r>
      <rPr>
        <rFont val="Arial"/>
        <color theme="1"/>
        <sz val="10.0"/>
      </rPr>
      <t xml:space="preserve">   → competitors</t>
    </r>
    <r>
      <rPr>
        <rFont val="Noto Sans CJK SC"/>
        <color theme="1"/>
        <sz val="10.0"/>
      </rPr>
      <t xml:space="preserve">에 새 행을 추가하고 </t>
    </r>
    <r>
      <rPr>
        <rFont val="Arial"/>
        <color theme="1"/>
        <sz val="10.0"/>
      </rPr>
      <t>bm_pattern</t>
    </r>
    <r>
      <rPr>
        <rFont val="Noto Sans CJK SC"/>
        <color theme="1"/>
        <sz val="10.0"/>
      </rPr>
      <t>까지 채우면</t>
    </r>
    <r>
      <rPr>
        <rFont val="Arial"/>
        <color theme="1"/>
        <sz val="10.0"/>
      </rPr>
      <t>, bm_mapping</t>
    </r>
    <r>
      <rPr>
        <rFont val="Noto Sans CJK SC"/>
        <color theme="1"/>
        <sz val="10.0"/>
      </rPr>
      <t>에 새 조합이 자동으로 나타남</t>
    </r>
    <r>
      <rPr>
        <rFont val="Arial"/>
        <color theme="1"/>
        <sz val="10.0"/>
      </rPr>
      <t>.</t>
    </r>
  </si>
  <si>
    <t>limitation</t>
  </si>
  <si>
    <r>
      <rPr>
        <rFont val="Arial"/>
        <b/>
        <color theme="1"/>
        <sz val="12.0"/>
      </rPr>
      <t xml:space="preserve">[2026-07-20 </t>
    </r>
    <r>
      <rPr>
        <rFont val="Noto Sans CJK SC"/>
        <b/>
        <color theme="1"/>
        <sz val="12.0"/>
      </rPr>
      <t>변경</t>
    </r>
    <r>
      <rPr>
        <rFont val="Arial"/>
        <b/>
        <color theme="1"/>
        <sz val="12.0"/>
      </rPr>
      <t>] category(5</t>
    </r>
    <r>
      <rPr>
        <rFont val="Noto Sans CJK SC"/>
        <b/>
        <color theme="1"/>
        <sz val="12.0"/>
      </rPr>
      <t>종</t>
    </r>
    <r>
      <rPr>
        <rFont val="Arial"/>
        <b/>
        <color theme="1"/>
        <sz val="12.0"/>
      </rPr>
      <t xml:space="preserve">, </t>
    </r>
    <r>
      <rPr>
        <rFont val="Noto Sans CJK SC"/>
        <b/>
        <color theme="1"/>
        <sz val="12.0"/>
      </rPr>
      <t>단일축</t>
    </r>
    <r>
      <rPr>
        <rFont val="Arial"/>
        <b/>
        <color theme="1"/>
        <sz val="12.0"/>
      </rPr>
      <t>) → category_1(</t>
    </r>
    <r>
      <rPr>
        <rFont val="Noto Sans CJK SC"/>
        <b/>
        <color theme="1"/>
        <sz val="12.0"/>
      </rPr>
      <t>질병축</t>
    </r>
    <r>
      <rPr>
        <rFont val="Arial"/>
        <b/>
        <color theme="1"/>
        <sz val="12.0"/>
      </rPr>
      <t>)+category_2(</t>
    </r>
    <r>
      <rPr>
        <rFont val="Noto Sans CJK SC"/>
        <b/>
        <color theme="1"/>
        <sz val="12.0"/>
      </rPr>
      <t>기능축</t>
    </r>
    <r>
      <rPr>
        <rFont val="Arial"/>
        <b/>
        <color theme="1"/>
        <sz val="12.0"/>
      </rPr>
      <t>) 2</t>
    </r>
    <r>
      <rPr>
        <rFont val="Noto Sans CJK SC"/>
        <b/>
        <color theme="1"/>
        <sz val="12.0"/>
      </rPr>
      <t>축으로 교체</t>
    </r>
  </si>
  <si>
    <r>
      <rPr>
        <rFont val="Arial"/>
        <color theme="1"/>
        <sz val="10.0"/>
      </rPr>
      <t>- category_1(</t>
    </r>
    <r>
      <rPr>
        <rFont val="Noto Sans CJK SC"/>
        <color theme="1"/>
        <sz val="10.0"/>
      </rPr>
      <t>질병축</t>
    </r>
    <r>
      <rPr>
        <rFont val="Arial"/>
        <color theme="1"/>
        <sz val="10.0"/>
      </rPr>
      <t>, 8</t>
    </r>
    <r>
      <rPr>
        <rFont val="Noto Sans CJK SC"/>
        <color theme="1"/>
        <sz val="10.0"/>
      </rPr>
      <t>종</t>
    </r>
    <r>
      <rPr>
        <rFont val="Arial"/>
        <color theme="1"/>
        <sz val="10.0"/>
      </rPr>
      <t xml:space="preserve">): </t>
    </r>
    <r>
      <rPr>
        <rFont val="Noto Sans CJK SC"/>
        <color theme="1"/>
        <sz val="10.0"/>
      </rPr>
      <t xml:space="preserve">수면 </t>
    </r>
    <r>
      <rPr>
        <rFont val="Arial"/>
        <color theme="1"/>
        <sz val="10.0"/>
      </rPr>
      <t xml:space="preserve">/ </t>
    </r>
    <r>
      <rPr>
        <rFont val="Noto Sans CJK SC"/>
        <color theme="1"/>
        <sz val="10.0"/>
      </rPr>
      <t xml:space="preserve">정신건강 </t>
    </r>
    <r>
      <rPr>
        <rFont val="Arial"/>
        <color theme="1"/>
        <sz val="10.0"/>
      </rPr>
      <t xml:space="preserve">/ </t>
    </r>
    <r>
      <rPr>
        <rFont val="Noto Sans CJK SC"/>
        <color theme="1"/>
        <sz val="10.0"/>
      </rPr>
      <t xml:space="preserve">운동 </t>
    </r>
    <r>
      <rPr>
        <rFont val="Arial"/>
        <color theme="1"/>
        <sz val="10.0"/>
      </rPr>
      <t xml:space="preserve">/ </t>
    </r>
    <r>
      <rPr>
        <rFont val="Noto Sans CJK SC"/>
        <color theme="1"/>
        <sz val="10.0"/>
      </rPr>
      <t xml:space="preserve">식단 </t>
    </r>
    <r>
      <rPr>
        <rFont val="Arial"/>
        <color theme="1"/>
        <sz val="10.0"/>
      </rPr>
      <t xml:space="preserve">/ </t>
    </r>
    <r>
      <rPr>
        <rFont val="Noto Sans CJK SC"/>
        <color theme="1"/>
        <sz val="10.0"/>
      </rPr>
      <t xml:space="preserve">만성질환 </t>
    </r>
    <r>
      <rPr>
        <rFont val="Arial"/>
        <color theme="1"/>
        <sz val="10.0"/>
      </rPr>
      <t xml:space="preserve">/ </t>
    </r>
    <r>
      <rPr>
        <rFont val="Noto Sans CJK SC"/>
        <color theme="1"/>
        <sz val="10.0"/>
      </rPr>
      <t xml:space="preserve">여성건강 </t>
    </r>
    <r>
      <rPr>
        <rFont val="Arial"/>
        <color theme="1"/>
        <sz val="10.0"/>
      </rPr>
      <t xml:space="preserve">/ </t>
    </r>
    <r>
      <rPr>
        <rFont val="Noto Sans CJK SC"/>
        <color theme="1"/>
        <sz val="10.0"/>
      </rPr>
      <t xml:space="preserve">유전자 </t>
    </r>
    <r>
      <rPr>
        <rFont val="Arial"/>
        <color theme="1"/>
        <sz val="10.0"/>
      </rPr>
      <t xml:space="preserve">/ </t>
    </r>
    <r>
      <rPr>
        <rFont val="Noto Sans CJK SC"/>
        <color theme="1"/>
        <sz val="10.0"/>
      </rPr>
      <t>미용</t>
    </r>
  </si>
  <si>
    <t>price</t>
  </si>
  <si>
    <r>
      <rPr>
        <rFont val="Arial"/>
        <color theme="1"/>
        <sz val="10.0"/>
      </rPr>
      <t>- category_2(</t>
    </r>
    <r>
      <rPr>
        <rFont val="Noto Sans CJK SC"/>
        <color theme="1"/>
        <sz val="10.0"/>
      </rPr>
      <t>기능축</t>
    </r>
    <r>
      <rPr>
        <rFont val="Arial"/>
        <color theme="1"/>
        <sz val="10.0"/>
      </rPr>
      <t>, 4</t>
    </r>
    <r>
      <rPr>
        <rFont val="Noto Sans CJK SC"/>
        <color theme="1"/>
        <sz val="10.0"/>
      </rPr>
      <t>종</t>
    </r>
    <r>
      <rPr>
        <rFont val="Arial"/>
        <color theme="1"/>
        <sz val="10.0"/>
      </rPr>
      <t xml:space="preserve">): </t>
    </r>
    <r>
      <rPr>
        <rFont val="Noto Sans CJK SC"/>
        <color theme="1"/>
        <sz val="10.0"/>
      </rPr>
      <t xml:space="preserve">정보제공 </t>
    </r>
    <r>
      <rPr>
        <rFont val="Arial"/>
        <color theme="1"/>
        <sz val="10.0"/>
      </rPr>
      <t xml:space="preserve">/ </t>
    </r>
    <r>
      <rPr>
        <rFont val="Noto Sans CJK SC"/>
        <color theme="1"/>
        <sz val="10.0"/>
      </rPr>
      <t xml:space="preserve">데이터기록관리 </t>
    </r>
    <r>
      <rPr>
        <rFont val="Arial"/>
        <color theme="1"/>
        <sz val="10.0"/>
      </rPr>
      <t xml:space="preserve">/ </t>
    </r>
    <r>
      <rPr>
        <rFont val="Noto Sans CJK SC"/>
        <color theme="1"/>
        <sz val="10.0"/>
      </rPr>
      <t xml:space="preserve">매칭연결 </t>
    </r>
    <r>
      <rPr>
        <rFont val="Arial"/>
        <color theme="1"/>
        <sz val="10.0"/>
      </rPr>
      <t xml:space="preserve">/ </t>
    </r>
    <r>
      <rPr>
        <rFont val="Noto Sans CJK SC"/>
        <color theme="1"/>
        <sz val="10.0"/>
      </rPr>
      <t>개입치료</t>
    </r>
  </si>
  <si>
    <t>CP001</t>
  </si>
  <si>
    <r>
      <rPr>
        <rFont val="Arial"/>
        <color theme="1"/>
        <sz val="10.0"/>
      </rPr>
      <t>- data_type(</t>
    </r>
    <r>
      <rPr>
        <rFont val="Noto Sans CJK SC"/>
        <color theme="1"/>
        <sz val="10.0"/>
      </rPr>
      <t>라이프스타일</t>
    </r>
    <r>
      <rPr>
        <rFont val="Arial"/>
        <color theme="1"/>
        <sz val="10.0"/>
      </rPr>
      <t>/</t>
    </r>
    <r>
      <rPr>
        <rFont val="Noto Sans CJK SC"/>
        <color theme="1"/>
        <sz val="10.0"/>
      </rPr>
      <t>생체지표</t>
    </r>
    <r>
      <rPr>
        <rFont val="Arial"/>
        <color theme="1"/>
        <sz val="10.0"/>
      </rPr>
      <t>)</t>
    </r>
    <r>
      <rPr>
        <rFont val="Noto Sans CJK SC"/>
        <color theme="1"/>
        <sz val="10.0"/>
      </rPr>
      <t xml:space="preserve">은 그대로 유지 — </t>
    </r>
    <r>
      <rPr>
        <rFont val="Arial"/>
        <color theme="1"/>
        <sz val="10.0"/>
      </rPr>
      <t xml:space="preserve">GATE </t>
    </r>
    <r>
      <rPr>
        <rFont val="Noto Sans CJK SC"/>
        <color theme="1"/>
        <sz val="10.0"/>
      </rPr>
      <t>규제 판단</t>
    </r>
    <r>
      <rPr>
        <rFont val="Arial"/>
        <color theme="1"/>
        <sz val="10.0"/>
      </rPr>
      <t>·</t>
    </r>
    <r>
      <rPr>
        <rFont val="Noto Sans CJK SC"/>
        <color theme="1"/>
        <sz val="10.0"/>
      </rPr>
      <t>경쟁포화도 유사도 계산 전용</t>
    </r>
    <r>
      <rPr>
        <rFont val="Arial"/>
        <color theme="1"/>
        <sz val="10.0"/>
      </rPr>
      <t>, category_1/2</t>
    </r>
    <r>
      <rPr>
        <rFont val="Noto Sans CJK SC"/>
        <color theme="1"/>
        <sz val="10.0"/>
      </rPr>
      <t>와는 별개 축</t>
    </r>
  </si>
  <si>
    <r>
      <rPr>
        <rFont val="Arial"/>
        <b/>
        <color theme="1"/>
        <sz val="12.0"/>
      </rPr>
      <t>[</t>
    </r>
    <r>
      <rPr>
        <rFont val="Noto Sans CJK SC"/>
        <b/>
        <color theme="1"/>
        <sz val="12.0"/>
      </rPr>
      <t>자동 갱신이 안 될 때</t>
    </r>
    <r>
      <rPr>
        <rFont val="Arial"/>
        <b/>
        <color theme="1"/>
        <sz val="12.0"/>
      </rPr>
      <t>]</t>
    </r>
  </si>
  <si>
    <r>
      <rPr>
        <rFont val="Noto Sans CJK SC"/>
        <i/>
        <color rgb="FF7F7F7F"/>
        <sz val="11.0"/>
      </rPr>
      <t>눔</t>
    </r>
    <r>
      <rPr>
        <rFont val="Arial"/>
        <i/>
        <color rgb="FF7F7F7F"/>
        <sz val="11.0"/>
      </rPr>
      <t>(Noom)</t>
    </r>
  </si>
  <si>
    <r>
      <rPr>
        <rFont val="Arial"/>
        <color theme="1"/>
        <sz val="10.0"/>
      </rPr>
      <t xml:space="preserve">- </t>
    </r>
    <r>
      <rPr>
        <rFont val="Noto Sans CJK SC"/>
        <color theme="1"/>
        <sz val="10.0"/>
      </rPr>
      <t xml:space="preserve">엑셀 상단 메뉴 수식 </t>
    </r>
    <r>
      <rPr>
        <rFont val="Arial"/>
        <color theme="1"/>
        <sz val="10.0"/>
      </rPr>
      <t xml:space="preserve">&gt; </t>
    </r>
    <r>
      <rPr>
        <rFont val="Noto Sans CJK SC"/>
        <color theme="1"/>
        <sz val="10.0"/>
      </rPr>
      <t xml:space="preserve">계산 옵션이 </t>
    </r>
    <r>
      <rPr>
        <rFont val="Arial"/>
        <color theme="1"/>
        <sz val="10.0"/>
      </rPr>
      <t>'</t>
    </r>
    <r>
      <rPr>
        <rFont val="Noto Sans CJK SC"/>
        <color theme="1"/>
        <sz val="10.0"/>
      </rPr>
      <t>자동</t>
    </r>
    <r>
      <rPr>
        <rFont val="Arial"/>
        <color theme="1"/>
        <sz val="10.0"/>
      </rPr>
      <t>'</t>
    </r>
    <r>
      <rPr>
        <rFont val="Noto Sans CJK SC"/>
        <color theme="1"/>
        <sz val="10.0"/>
      </rPr>
      <t xml:space="preserve">인지 확인 </t>
    </r>
    <r>
      <rPr>
        <rFont val="Arial"/>
        <color theme="1"/>
        <sz val="10.0"/>
      </rPr>
      <t>(</t>
    </r>
    <r>
      <rPr>
        <rFont val="Noto Sans CJK SC"/>
        <color theme="1"/>
        <sz val="10.0"/>
      </rPr>
      <t>기본은 자동</t>
    </r>
    <r>
      <rPr>
        <rFont val="Arial"/>
        <color theme="1"/>
        <sz val="10.0"/>
      </rPr>
      <t xml:space="preserve">, </t>
    </r>
    <r>
      <rPr>
        <rFont val="Noto Sans CJK SC"/>
        <color theme="1"/>
        <sz val="10.0"/>
      </rPr>
      <t xml:space="preserve">수동으로 바뀌어 있으면 </t>
    </r>
    <r>
      <rPr>
        <rFont val="Arial"/>
        <color theme="1"/>
        <sz val="10.0"/>
      </rPr>
      <t>F9</t>
    </r>
    <r>
      <rPr>
        <rFont val="Noto Sans CJK SC"/>
        <color theme="1"/>
        <sz val="10.0"/>
      </rPr>
      <t>로 강제 재계산</t>
    </r>
    <r>
      <rPr>
        <rFont val="Arial"/>
        <color theme="1"/>
        <sz val="10.0"/>
      </rPr>
      <t>)</t>
    </r>
  </si>
  <si>
    <r>
      <rPr>
        <rFont val="Arial"/>
        <color theme="1"/>
        <sz val="10.0"/>
      </rPr>
      <t xml:space="preserve">- </t>
    </r>
    <r>
      <rPr>
        <rFont val="Noto Sans CJK SC"/>
        <color theme="1"/>
        <sz val="10.0"/>
      </rPr>
      <t>이 파일은 열릴 때 자동으로 전체 재계산되도록 설정해뒀음</t>
    </r>
    <r>
      <rPr>
        <rFont val="Arial"/>
        <color theme="1"/>
        <sz val="10.0"/>
      </rPr>
      <t>(fullCalcOnLoad)</t>
    </r>
  </si>
  <si>
    <r>
      <rPr>
        <rFont val="Arial"/>
        <color theme="1"/>
        <sz val="10.0"/>
      </rPr>
      <t>- competitors</t>
    </r>
    <r>
      <rPr>
        <rFont val="Noto Sans CJK SC"/>
        <color theme="1"/>
        <sz val="10.0"/>
      </rPr>
      <t xml:space="preserve">에서 </t>
    </r>
    <r>
      <rPr>
        <rFont val="Arial"/>
        <color theme="1"/>
        <sz val="10.0"/>
      </rPr>
      <t xml:space="preserve">category_1/category_2/target/service_type/bm_pattern </t>
    </r>
    <r>
      <rPr>
        <rFont val="Noto Sans CJK SC"/>
        <color theme="1"/>
        <sz val="10.0"/>
      </rPr>
      <t>중 하나라도 비어있으면 그 행은 집계에서 제외됨</t>
    </r>
  </si>
  <si>
    <r>
      <rPr>
        <rFont val="Arial"/>
        <b/>
        <color theme="1"/>
        <sz val="12.0"/>
      </rPr>
      <t xml:space="preserve">[competitors </t>
    </r>
    <r>
      <rPr>
        <rFont val="Noto Sans CJK SC"/>
        <b/>
        <color theme="1"/>
        <sz val="12.0"/>
      </rPr>
      <t>입력 가이드</t>
    </r>
    <r>
      <rPr>
        <rFont val="Arial"/>
        <b/>
        <color theme="1"/>
        <sz val="12.0"/>
      </rPr>
      <t>]</t>
    </r>
  </si>
  <si>
    <t>식단</t>
  </si>
  <si>
    <r>
      <rPr>
        <rFont val="Arial"/>
        <color theme="1"/>
        <sz val="10.0"/>
      </rPr>
      <t xml:space="preserve">- tier: </t>
    </r>
    <r>
      <rPr>
        <rFont val="Noto Sans CJK SC"/>
        <color theme="1"/>
        <sz val="10.0"/>
      </rPr>
      <t xml:space="preserve">플랫폼 </t>
    </r>
    <r>
      <rPr>
        <rFont val="Arial"/>
        <color theme="1"/>
        <sz val="10.0"/>
      </rPr>
      <t xml:space="preserve">/ </t>
    </r>
    <r>
      <rPr>
        <rFont val="Noto Sans CJK SC"/>
        <color theme="1"/>
        <sz val="10.0"/>
      </rPr>
      <t xml:space="preserve">카테고리리더 </t>
    </r>
    <r>
      <rPr>
        <rFont val="Arial"/>
        <color theme="1"/>
        <sz val="10.0"/>
      </rPr>
      <t xml:space="preserve">/ </t>
    </r>
    <r>
      <rPr>
        <rFont val="Noto Sans CJK SC"/>
        <color theme="1"/>
        <sz val="10.0"/>
      </rPr>
      <t xml:space="preserve">일반경쟁자 </t>
    </r>
    <r>
      <rPr>
        <rFont val="Arial"/>
        <color theme="1"/>
        <sz val="10.0"/>
      </rPr>
      <t>(</t>
    </r>
    <r>
      <rPr>
        <rFont val="Noto Sans CJK SC"/>
        <color theme="1"/>
        <sz val="10.0"/>
      </rPr>
      <t>기준</t>
    </r>
    <r>
      <rPr>
        <rFont val="Arial"/>
        <color theme="1"/>
        <sz val="10.0"/>
      </rPr>
      <t xml:space="preserve">: </t>
    </r>
    <r>
      <rPr>
        <rFont val="Noto Sans CJK SC"/>
        <color theme="1"/>
        <sz val="10.0"/>
      </rPr>
      <t>다운로드수</t>
    </r>
    <r>
      <rPr>
        <rFont val="Arial"/>
        <color theme="1"/>
        <sz val="10.0"/>
      </rPr>
      <t>·MAU·</t>
    </r>
    <r>
      <rPr>
        <rFont val="Noto Sans CJK SC"/>
        <color theme="1"/>
        <sz val="10.0"/>
      </rPr>
      <t>투자단계</t>
    </r>
    <r>
      <rPr>
        <rFont val="Arial"/>
        <color theme="1"/>
        <sz val="10.0"/>
      </rPr>
      <t>)</t>
    </r>
  </si>
  <si>
    <t>개입치료</t>
  </si>
  <si>
    <r>
      <rPr>
        <rFont val="Arial"/>
        <color theme="1"/>
        <sz val="10.0"/>
      </rPr>
      <t xml:space="preserve">- data_type: </t>
    </r>
    <r>
      <rPr>
        <rFont val="Noto Sans CJK SC"/>
        <color theme="1"/>
        <sz val="10.0"/>
      </rPr>
      <t xml:space="preserve">라이프스타일 </t>
    </r>
    <r>
      <rPr>
        <rFont val="Arial"/>
        <color theme="1"/>
        <sz val="10.0"/>
      </rPr>
      <t xml:space="preserve">/ </t>
    </r>
    <r>
      <rPr>
        <rFont val="Noto Sans CJK SC"/>
        <color theme="1"/>
        <sz val="10.0"/>
      </rPr>
      <t xml:space="preserve">생체지표 </t>
    </r>
    <r>
      <rPr>
        <rFont val="Arial"/>
        <color theme="1"/>
        <sz val="10.0"/>
      </rPr>
      <t>(gate_matrix.data_type</t>
    </r>
    <r>
      <rPr>
        <rFont val="Noto Sans CJK SC"/>
        <color theme="1"/>
        <sz val="10.0"/>
      </rPr>
      <t>과 통일</t>
    </r>
    <r>
      <rPr>
        <rFont val="Arial"/>
        <color theme="1"/>
        <sz val="10.0"/>
      </rPr>
      <t>, 1</t>
    </r>
    <r>
      <rPr>
        <rFont val="Noto Sans CJK SC"/>
        <color theme="1"/>
        <sz val="10.0"/>
      </rPr>
      <t>차 구축 범위 — 임상</t>
    </r>
    <r>
      <rPr>
        <rFont val="Arial"/>
        <color theme="1"/>
        <sz val="10.0"/>
      </rPr>
      <t>·</t>
    </r>
    <r>
      <rPr>
        <rFont val="Noto Sans CJK SC"/>
        <color theme="1"/>
        <sz val="10.0"/>
      </rPr>
      <t>진료 제외</t>
    </r>
    <r>
      <rPr>
        <rFont val="Arial"/>
        <color theme="1"/>
        <sz val="10.0"/>
      </rPr>
      <t>)</t>
    </r>
  </si>
  <si>
    <t>미국</t>
  </si>
  <si>
    <r>
      <rPr>
        <rFont val="Arial"/>
        <color theme="1"/>
        <sz val="10.0"/>
      </rPr>
      <t xml:space="preserve">- core_tags/sub_tags: </t>
    </r>
    <r>
      <rPr>
        <rFont val="Noto Sans CJK SC"/>
        <color theme="1"/>
        <sz val="10.0"/>
      </rPr>
      <t>쉼표</t>
    </r>
    <r>
      <rPr>
        <rFont val="Arial"/>
        <color theme="1"/>
        <sz val="10.0"/>
      </rPr>
      <t>(,)</t>
    </r>
    <r>
      <rPr>
        <rFont val="Noto Sans CJK SC"/>
        <color theme="1"/>
        <sz val="10.0"/>
      </rPr>
      <t>로 구분해 여러 태그 입력</t>
    </r>
  </si>
  <si>
    <t>카테고리리더</t>
  </si>
  <si>
    <r>
      <rPr>
        <rFont val="Arial"/>
        <color theme="1"/>
        <sz val="10.0"/>
      </rPr>
      <t>- country: '</t>
    </r>
    <r>
      <rPr>
        <rFont val="Noto Sans CJK SC"/>
        <color theme="1"/>
        <sz val="10.0"/>
      </rPr>
      <t>한국</t>
    </r>
    <r>
      <rPr>
        <rFont val="Arial"/>
        <color theme="1"/>
        <sz val="10.0"/>
      </rPr>
      <t xml:space="preserve">' </t>
    </r>
    <r>
      <rPr>
        <rFont val="Noto Sans CJK SC"/>
        <color theme="1"/>
        <sz val="10.0"/>
      </rPr>
      <t xml:space="preserve">정확히 입력해야 </t>
    </r>
    <r>
      <rPr>
        <rFont val="Arial"/>
        <color theme="1"/>
        <sz val="10.0"/>
      </rPr>
      <t>bm_mapping</t>
    </r>
    <r>
      <rPr>
        <rFont val="Noto Sans CJK SC"/>
        <color theme="1"/>
        <sz val="10.0"/>
      </rPr>
      <t>의 국내</t>
    </r>
    <r>
      <rPr>
        <rFont val="Arial"/>
        <color theme="1"/>
        <sz val="10.0"/>
      </rPr>
      <t>/</t>
    </r>
    <r>
      <rPr>
        <rFont val="Noto Sans CJK SC"/>
        <color theme="1"/>
        <sz val="10.0"/>
      </rPr>
      <t>해외 구분</t>
    </r>
    <r>
      <rPr>
        <rFont val="Arial"/>
        <color theme="1"/>
        <sz val="10.0"/>
      </rPr>
      <t>(frequency_score vs frequency_score_global)</t>
    </r>
    <r>
      <rPr>
        <rFont val="Noto Sans CJK SC"/>
        <color theme="1"/>
        <sz val="10.0"/>
      </rPr>
      <t>이 제대로 계산됨</t>
    </r>
  </si>
  <si>
    <r>
      <rPr>
        <rFont val="Arial"/>
        <color theme="1"/>
        <sz val="10.0"/>
      </rPr>
      <t>- Q,R,S</t>
    </r>
    <r>
      <rPr>
        <rFont val="Noto Sans CJK SC"/>
        <color theme="1"/>
        <sz val="10.0"/>
      </rPr>
      <t>열</t>
    </r>
    <r>
      <rPr>
        <rFont val="Arial"/>
        <color theme="1"/>
        <sz val="10.0"/>
      </rPr>
      <t>(</t>
    </r>
    <r>
      <rPr>
        <rFont val="Noto Sans CJK SC"/>
        <color theme="1"/>
        <sz val="10.0"/>
      </rPr>
      <t>숨김</t>
    </r>
    <r>
      <rPr>
        <rFont val="Arial"/>
        <color theme="1"/>
        <sz val="10.0"/>
      </rPr>
      <t>)</t>
    </r>
    <r>
      <rPr>
        <rFont val="Noto Sans CJK SC"/>
        <color theme="1"/>
        <sz val="10.0"/>
      </rPr>
      <t xml:space="preserve">은 </t>
    </r>
    <r>
      <rPr>
        <rFont val="Arial"/>
        <color theme="1"/>
        <sz val="10.0"/>
      </rPr>
      <t xml:space="preserve">bm_mapping </t>
    </r>
    <r>
      <rPr>
        <rFont val="Noto Sans CJK SC"/>
        <color theme="1"/>
        <sz val="10.0"/>
      </rPr>
      <t>자동집계용 내부 계산열 — 건드리지 않아도 됨</t>
    </r>
  </si>
  <si>
    <t>라이프스타일</t>
  </si>
  <si>
    <r>
      <rPr>
        <rFont val="Noto Sans CJK SC"/>
        <i/>
        <color rgb="FF7F7F7F"/>
        <sz val="11.0"/>
      </rPr>
      <t>다이어터</t>
    </r>
    <r>
      <rPr>
        <rFont val="Arial"/>
        <i/>
        <color rgb="FF7F7F7F"/>
        <sz val="11.0"/>
      </rPr>
      <t>,20-40</t>
    </r>
    <r>
      <rPr>
        <rFont val="Noto Sans CJK SC"/>
        <i/>
        <color rgb="FF7F7F7F"/>
        <sz val="11.0"/>
      </rPr>
      <t>대</t>
    </r>
  </si>
  <si>
    <r>
      <rPr>
        <rFont val="Arial"/>
        <color theme="1"/>
        <sz val="10.0"/>
      </rPr>
      <t xml:space="preserve">- </t>
    </r>
    <r>
      <rPr>
        <rFont val="Noto Sans CJK SC"/>
        <color theme="1"/>
        <sz val="10.0"/>
      </rPr>
      <t>회색 음영 행</t>
    </r>
    <r>
      <rPr>
        <rFont val="Arial"/>
        <color theme="1"/>
        <sz val="10.0"/>
      </rPr>
      <t>(2~3</t>
    </r>
    <r>
      <rPr>
        <rFont val="Noto Sans CJK SC"/>
        <color theme="1"/>
        <sz val="10.0"/>
      </rPr>
      <t>행</t>
    </r>
    <r>
      <rPr>
        <rFont val="Arial"/>
        <color theme="1"/>
        <sz val="10.0"/>
      </rPr>
      <t>)</t>
    </r>
    <r>
      <rPr>
        <rFont val="Noto Sans CJK SC"/>
        <color theme="1"/>
        <sz val="10.0"/>
      </rPr>
      <t>은 형식 참고용 예시행 — 실제 데이터 입력 시 삭제하거나 덮어쓰기</t>
    </r>
  </si>
  <si>
    <t>앱단독</t>
  </si>
  <si>
    <r>
      <rPr>
        <rFont val="Noto Sans CJK SC"/>
        <i/>
        <color rgb="FF7F7F7F"/>
        <sz val="11.0"/>
      </rPr>
      <t>식단기록</t>
    </r>
    <r>
      <rPr>
        <rFont val="Arial"/>
        <i/>
        <color rgb="FF7F7F7F"/>
        <sz val="11.0"/>
      </rPr>
      <t>,</t>
    </r>
    <r>
      <rPr>
        <rFont val="Noto Sans CJK SC"/>
        <i/>
        <color rgb="FF7F7F7F"/>
        <sz val="11.0"/>
      </rPr>
      <t>체중관리</t>
    </r>
  </si>
  <si>
    <r>
      <rPr>
        <rFont val="Noto Sans CJK SC"/>
        <i/>
        <color rgb="FF7F7F7F"/>
        <sz val="11.0"/>
      </rPr>
      <t>커뮤니티</t>
    </r>
    <r>
      <rPr>
        <rFont val="Arial"/>
        <i/>
        <color rgb="FF7F7F7F"/>
        <sz val="11.0"/>
      </rPr>
      <t>,</t>
    </r>
    <r>
      <rPr>
        <rFont val="Noto Sans CJK SC"/>
        <i/>
        <color rgb="FF7F7F7F"/>
        <sz val="11.0"/>
      </rPr>
      <t>코칭</t>
    </r>
  </si>
  <si>
    <r>
      <rPr>
        <rFont val="Arial"/>
        <b/>
        <color theme="1"/>
        <sz val="12.0"/>
      </rPr>
      <t xml:space="preserve">[BM </t>
    </r>
    <r>
      <rPr>
        <rFont val="Noto Sans CJK SC"/>
        <b/>
        <color theme="1"/>
        <sz val="12.0"/>
      </rPr>
      <t xml:space="preserve">패턴 후보 목록 — </t>
    </r>
    <r>
      <rPr>
        <rFont val="Arial"/>
        <b/>
        <color theme="1"/>
        <sz val="12.0"/>
      </rPr>
      <t>12</t>
    </r>
    <r>
      <rPr>
        <rFont val="Noto Sans CJK SC"/>
        <b/>
        <color theme="1"/>
        <sz val="12.0"/>
      </rPr>
      <t>개</t>
    </r>
    <r>
      <rPr>
        <rFont val="Arial"/>
        <b/>
        <color theme="1"/>
        <sz val="12.0"/>
      </rPr>
      <t xml:space="preserve">, </t>
    </r>
    <r>
      <rPr>
        <rFont val="Noto Sans CJK SC"/>
        <b/>
        <color theme="1"/>
        <sz val="12.0"/>
      </rPr>
      <t>팀 승인 대기 중</t>
    </r>
    <r>
      <rPr>
        <rFont val="Arial"/>
        <b/>
        <color theme="1"/>
        <sz val="12.0"/>
      </rPr>
      <t>]</t>
    </r>
  </si>
  <si>
    <r>
      <rPr>
        <rFont val="Noto Sans CJK SC"/>
        <color theme="1"/>
        <sz val="10.0"/>
      </rPr>
      <t>출처</t>
    </r>
    <r>
      <rPr>
        <rFont val="Arial"/>
        <color theme="1"/>
        <sz val="10.0"/>
      </rPr>
      <t>: The Business Model Navigator (Gassmann·Frankenberger·Csik) / businessmodelnavigator.com/explore</t>
    </r>
  </si>
  <si>
    <t>Freemium, Subscription, Add-on, Lock-in, Two-sided Market, Pay Per Use, Sensor As A Service,</t>
  </si>
  <si>
    <t>Leverage Customer Data, Digitization, Self-service, Performance-based Contracting, Razor And Blade</t>
  </si>
  <si>
    <t>**기준**
**1. Freemium(프리미엄)** — 기본 버전을 무료로 제공해 최대한 많은 사용자를 모으고, 소수의 유료 프리미엄 고객 매출이 무료 사용자 운영비까지 교차보전한다. 기준: 무료 등급과 유료 등급이 "상시 공존"해야 함.
**2. Subscription(구독형)** — 고객이 월/연 단위로 정기 요금을 내고 접근권을 유지한다. 기준: 결제가 "반복·정기"적이어야 함. 1회성 결제는 해당 안 됨.
**3. Add-on(애드온)** — 기본 상품은 경쟁력 있게(저렴하게) 가격 책정하고, 다양한 추가옵션으로 최종 가격이 올라간다. 고객은 필요에 맞게 선택적으로 추가 구매한다. 기준: "저렴한 기본가 + 선택적 유료 확장" 구조.
**4. Lock-in(락인)** — 특정 생태계에 고객을 묶어 타사 전환 시 높은 전환비용이 발생하게 한다. 기준: 스위칭 코스트의 존재.
**5. Two-sided Market(양면시장)** — 서로 의존적인 두 집단을 매칭하는 플랫폼(예: 유저-제휴브랜드). 기준: 상호의존적인 두 그룹을 매칭하며 참여자가 늘수록 가치가 커짐.
**6. Pay Per Use(사용량과금)** — 실사용량을 계측해 사용한 만큼만 과금. 기준: 정액이 아닌 "실사용 기반" 과금.
**7. Sensor As A Service(센서서비스)** — 센서로 물리적 제품에 부가서비스를 얹거나 새 서비스를 만든다. 매출원은 센서 자체가 아니라 "센서 데이터의 분석"이다.
**8. Leverage Customer Data(데이터활용)** — 고객 데이터를 수집·가공해 내부 활용하거나 제3자에 판매(익명화 포함). 기준: 데이터(또는 데이터 기반 광고효율)가 매출원.
**9. Digitization(디지털전환)** — 아날로그 프로세스를 디지털 워크플로우로 전환하는 것 자체가 가치제안.
**10. Self-service(셀프서비스)** — 가치창출 과정의 일부를 고객에게 이전(고객이 직접 수행)하는 대가로 가격을 낮춘다. **기준: "결제 방식"이 아니라 "누가 프로세스를 수행하는가".** 부가가치는 낮은데 비용은 큰 프로세스 단계를 고객이 직접 처리(셀프계산대, 헬스장 무인출입, DIY 조립 등)하는 경우에만 해당.
**11. Performance-based Contracting(성과기반계약)** — 물리적 가치가 아니라 성과/산출물 단위로 과금(예: 롤스로이스 엔진 가동시간당 과금).
**12. Razor And Blade(레이저블레이드)** — 본체는 원가 수준으로 팔아 락인시키고, 호환 소모품에서 고마진을 낸다. 기준: "본체 저가 + 소모품 고마진"의 2단계 구조.</t>
  </si>
  <si>
    <r>
      <rPr>
        <rFont val="Arial"/>
        <i/>
        <color rgb="FF7F7F7F"/>
        <sz val="11.0"/>
      </rPr>
      <t>Subscription(</t>
    </r>
    <r>
      <rPr>
        <rFont val="Noto Sans CJK SC"/>
        <i/>
        <color rgb="FF7F7F7F"/>
        <sz val="11.0"/>
      </rPr>
      <t>구독형</t>
    </r>
    <r>
      <rPr>
        <rFont val="Arial"/>
        <i/>
        <color rgb="FF7F7F7F"/>
        <sz val="11.0"/>
      </rPr>
      <t>)</t>
    </r>
  </si>
  <si>
    <r>
      <rPr>
        <rFont val="Noto Sans CJK SC"/>
        <i/>
        <color rgb="FF7F7F7F"/>
        <sz val="11.0"/>
      </rPr>
      <t xml:space="preserve">예시행 </t>
    </r>
    <r>
      <rPr>
        <rFont val="Arial"/>
        <i/>
        <color rgb="FF7F7F7F"/>
        <sz val="11.0"/>
      </rPr>
      <t xml:space="preserve">- </t>
    </r>
    <r>
      <rPr>
        <rFont val="Noto Sans CJK SC"/>
        <i/>
        <color rgb="FF7F7F7F"/>
        <sz val="11.0"/>
      </rPr>
      <t>실제 데이터로 교체</t>
    </r>
  </si>
  <si>
    <t>2026-07-20</t>
  </si>
  <si>
    <r>
      <rPr>
        <rFont val="Arial"/>
        <b/>
        <color theme="1"/>
        <sz val="12.0"/>
      </rPr>
      <t xml:space="preserve">[bm_mapping precedent_level </t>
    </r>
    <r>
      <rPr>
        <rFont val="Noto Sans CJK SC"/>
        <b/>
        <color theme="1"/>
        <sz val="12.0"/>
      </rPr>
      <t>임계값 — 국내 기준 자동 산출</t>
    </r>
    <r>
      <rPr>
        <rFont val="Arial"/>
        <b/>
        <color theme="1"/>
        <sz val="12.0"/>
      </rPr>
      <t>]</t>
    </r>
  </si>
  <si>
    <r>
      <rPr>
        <rFont val="Noto Sans CJK SC"/>
        <color theme="1"/>
        <sz val="10.0"/>
      </rPr>
      <t>많음</t>
    </r>
    <r>
      <rPr>
        <rFont val="Arial"/>
        <color theme="1"/>
        <sz val="10.0"/>
      </rPr>
      <t xml:space="preserve">: </t>
    </r>
    <r>
      <rPr>
        <rFont val="Noto Sans CJK SC"/>
        <color theme="1"/>
        <sz val="10.0"/>
      </rPr>
      <t xml:space="preserve">국내 </t>
    </r>
    <r>
      <rPr>
        <rFont val="Arial"/>
        <color theme="1"/>
        <sz val="10.0"/>
      </rPr>
      <t xml:space="preserve">frequency_score ≥5 | </t>
    </r>
    <r>
      <rPr>
        <rFont val="Noto Sans CJK SC"/>
        <color theme="1"/>
        <sz val="10.0"/>
      </rPr>
      <t>중간</t>
    </r>
    <r>
      <rPr>
        <rFont val="Arial"/>
        <color theme="1"/>
        <sz val="10.0"/>
      </rPr>
      <t xml:space="preserve">: 3~4 | </t>
    </r>
    <r>
      <rPr>
        <rFont val="Noto Sans CJK SC"/>
        <color theme="1"/>
        <sz val="10.0"/>
      </rPr>
      <t>적음</t>
    </r>
    <r>
      <rPr>
        <rFont val="Arial"/>
        <color theme="1"/>
        <sz val="10.0"/>
      </rPr>
      <t xml:space="preserve">: 1~2 | </t>
    </r>
    <r>
      <rPr>
        <rFont val="Noto Sans CJK SC"/>
        <color theme="1"/>
        <sz val="10.0"/>
      </rPr>
      <t>가능</t>
    </r>
    <r>
      <rPr>
        <rFont val="Arial"/>
        <color theme="1"/>
        <sz val="10.0"/>
      </rPr>
      <t xml:space="preserve">: </t>
    </r>
    <r>
      <rPr>
        <rFont val="Noto Sans CJK SC"/>
        <color theme="1"/>
        <sz val="10.0"/>
      </rPr>
      <t xml:space="preserve">국내 </t>
    </r>
    <r>
      <rPr>
        <rFont val="Arial"/>
        <color theme="1"/>
        <sz val="10.0"/>
      </rPr>
      <t>0+</t>
    </r>
    <r>
      <rPr>
        <rFont val="Noto Sans CJK SC"/>
        <color theme="1"/>
        <sz val="10.0"/>
      </rPr>
      <t xml:space="preserve">해외 존재 </t>
    </r>
    <r>
      <rPr>
        <rFont val="Arial"/>
        <color theme="1"/>
        <sz val="10.0"/>
      </rPr>
      <t xml:space="preserve">| </t>
    </r>
    <r>
      <rPr>
        <rFont val="Noto Sans CJK SC"/>
        <color theme="1"/>
        <sz val="10.0"/>
      </rPr>
      <t>어려움</t>
    </r>
    <r>
      <rPr>
        <rFont val="Arial"/>
        <color theme="1"/>
        <sz val="10.0"/>
      </rPr>
      <t xml:space="preserve">: </t>
    </r>
    <r>
      <rPr>
        <rFont val="Noto Sans CJK SC"/>
        <color theme="1"/>
        <sz val="10.0"/>
      </rPr>
      <t xml:space="preserve">국내외 모두 </t>
    </r>
    <r>
      <rPr>
        <rFont val="Arial"/>
        <color theme="1"/>
        <sz val="10.0"/>
      </rPr>
      <t>0</t>
    </r>
  </si>
  <si>
    <r>
      <rPr>
        <rFont val="Arial"/>
        <b/>
        <color theme="1"/>
        <sz val="12.0"/>
      </rPr>
      <t>[</t>
    </r>
    <r>
      <rPr>
        <rFont val="Noto Sans CJK SC"/>
        <b/>
        <color theme="1"/>
        <sz val="12.0"/>
      </rPr>
      <t>주의</t>
    </r>
    <r>
      <rPr>
        <rFont val="Arial"/>
        <b/>
        <color theme="1"/>
        <sz val="12.0"/>
      </rPr>
      <t>]</t>
    </r>
  </si>
  <si>
    <r>
      <rPr>
        <rFont val="Arial"/>
        <color theme="1"/>
        <sz val="10.0"/>
      </rPr>
      <t>- competitor_tier_score(</t>
    </r>
    <r>
      <rPr>
        <rFont val="Noto Sans CJK SC"/>
        <color theme="1"/>
        <sz val="10.0"/>
      </rPr>
      <t>플랫폼</t>
    </r>
    <r>
      <rPr>
        <rFont val="Arial"/>
        <color theme="1"/>
        <sz val="10.0"/>
      </rPr>
      <t>5/</t>
    </r>
    <r>
      <rPr>
        <rFont val="Noto Sans CJK SC"/>
        <color theme="1"/>
        <sz val="10.0"/>
      </rPr>
      <t>카테고리리더</t>
    </r>
    <r>
      <rPr>
        <rFont val="Arial"/>
        <color theme="1"/>
        <sz val="10.0"/>
      </rPr>
      <t>3/</t>
    </r>
    <r>
      <rPr>
        <rFont val="Noto Sans CJK SC"/>
        <color theme="1"/>
        <sz val="10.0"/>
      </rPr>
      <t>일반경쟁자</t>
    </r>
    <r>
      <rPr>
        <rFont val="Arial"/>
        <color theme="1"/>
        <sz val="10.0"/>
      </rPr>
      <t>1)</t>
    </r>
    <r>
      <rPr>
        <rFont val="Noto Sans CJK SC"/>
        <color theme="1"/>
        <sz val="10.0"/>
      </rPr>
      <t>와 서비스 유사도 가중치</t>
    </r>
    <r>
      <rPr>
        <rFont val="Arial"/>
        <color theme="1"/>
        <sz val="10.0"/>
      </rPr>
      <t>(1.0/0.7/0.4/0.2)</t>
    </r>
    <r>
      <rPr>
        <rFont val="Noto Sans CJK SC"/>
        <color theme="1"/>
        <sz val="10.0"/>
      </rPr>
      <t>는 예시값이며 미확정 상태입니다</t>
    </r>
    <r>
      <rPr>
        <rFont val="Arial"/>
        <color theme="1"/>
        <sz val="10.0"/>
      </rPr>
      <t>.</t>
    </r>
  </si>
  <si>
    <r>
      <rPr>
        <rFont val="Arial"/>
        <color theme="1"/>
        <sz val="10.0"/>
      </rPr>
      <t xml:space="preserve">- BM </t>
    </r>
    <r>
      <rPr>
        <rFont val="Noto Sans CJK SC"/>
        <color theme="1"/>
        <sz val="10.0"/>
      </rPr>
      <t xml:space="preserve">패턴 </t>
    </r>
    <r>
      <rPr>
        <rFont val="Arial"/>
        <color theme="1"/>
        <sz val="10.0"/>
      </rPr>
      <t>12</t>
    </r>
    <r>
      <rPr>
        <rFont val="Noto Sans CJK SC"/>
        <color theme="1"/>
        <sz val="10.0"/>
      </rPr>
      <t>개 서브셋은 초안이며</t>
    </r>
    <r>
      <rPr>
        <rFont val="Arial"/>
        <color theme="1"/>
        <sz val="10.0"/>
      </rPr>
      <t xml:space="preserve">, </t>
    </r>
    <r>
      <rPr>
        <rFont val="Noto Sans CJK SC"/>
        <color theme="1"/>
        <sz val="10.0"/>
      </rPr>
      <t>최종 리스트는 팀 회의에서 확정합니다</t>
    </r>
    <r>
      <rPr>
        <rFont val="Arial"/>
        <color theme="1"/>
        <sz val="10.0"/>
      </rPr>
      <t>.</t>
    </r>
  </si>
  <si>
    <r>
      <rPr>
        <rFont val="Arial"/>
        <color theme="1"/>
        <sz val="10.0"/>
      </rPr>
      <t>- evidence_id</t>
    </r>
    <r>
      <rPr>
        <rFont val="Noto Sans CJK SC"/>
        <color theme="1"/>
        <sz val="10.0"/>
      </rPr>
      <t xml:space="preserve">는 </t>
    </r>
    <r>
      <rPr>
        <rFont val="Arial"/>
        <color theme="1"/>
        <sz val="10.0"/>
      </rPr>
      <t xml:space="preserve">MVP </t>
    </r>
    <r>
      <rPr>
        <rFont val="Noto Sans CJK SC"/>
        <color theme="1"/>
        <sz val="10.0"/>
      </rPr>
      <t>범위 제외</t>
    </r>
    <r>
      <rPr>
        <rFont val="Arial"/>
        <color theme="1"/>
        <sz val="10.0"/>
      </rPr>
      <t>(</t>
    </r>
    <r>
      <rPr>
        <rFont val="Noto Sans CJK SC"/>
        <color theme="1"/>
        <sz val="10.0"/>
      </rPr>
      <t xml:space="preserve">수동 큐레이션 정보라 </t>
    </r>
    <r>
      <rPr>
        <rFont val="Arial"/>
        <color theme="1"/>
        <sz val="10.0"/>
      </rPr>
      <t>VIEW</t>
    </r>
    <r>
      <rPr>
        <rFont val="Noto Sans CJK SC"/>
        <color theme="1"/>
        <sz val="10.0"/>
      </rPr>
      <t>로 표현 불가</t>
    </r>
    <r>
      <rPr>
        <rFont val="Arial"/>
        <color theme="1"/>
        <sz val="10.0"/>
      </rPr>
      <t xml:space="preserve">) — </t>
    </r>
    <r>
      <rPr>
        <rFont val="Noto Sans CJK SC"/>
        <color theme="1"/>
        <sz val="10.0"/>
      </rPr>
      <t>필요 시 별도 참고용으로만 사용</t>
    </r>
  </si>
  <si>
    <t>CP002</t>
  </si>
  <si>
    <t>삼성헬스</t>
  </si>
  <si>
    <t>운동</t>
  </si>
  <si>
    <t>데이터기록관리</t>
  </si>
  <si>
    <t>한국</t>
  </si>
  <si>
    <t>플랫폼</t>
  </si>
  <si>
    <t>생체지표</t>
  </si>
  <si>
    <t>전연령</t>
  </si>
  <si>
    <t>웨어러블연동</t>
  </si>
  <si>
    <r>
      <rPr>
        <rFont val="Noto Sans CJK SC"/>
        <i/>
        <color rgb="FF7F7F7F"/>
        <sz val="11.0"/>
      </rPr>
      <t>심박수</t>
    </r>
    <r>
      <rPr>
        <rFont val="Arial"/>
        <i/>
        <color rgb="FF7F7F7F"/>
        <sz val="11.0"/>
      </rPr>
      <t>,</t>
    </r>
    <r>
      <rPr>
        <rFont val="Noto Sans CJK SC"/>
        <i/>
        <color rgb="FF7F7F7F"/>
        <sz val="11.0"/>
      </rPr>
      <t>걸음수</t>
    </r>
    <r>
      <rPr>
        <rFont val="Arial"/>
        <i/>
        <color rgb="FF7F7F7F"/>
        <sz val="11.0"/>
      </rPr>
      <t>,</t>
    </r>
    <r>
      <rPr>
        <rFont val="Noto Sans CJK SC"/>
        <i/>
        <color rgb="FF7F7F7F"/>
        <sz val="11.0"/>
      </rPr>
      <t>수면</t>
    </r>
  </si>
  <si>
    <t>스트레스지수</t>
  </si>
  <si>
    <r>
      <rPr>
        <rFont val="Arial"/>
        <i/>
        <color rgb="FF7F7F7F"/>
        <sz val="11.0"/>
      </rPr>
      <t>Lock-in(</t>
    </r>
    <r>
      <rPr>
        <rFont val="Noto Sans CJK SC"/>
        <i/>
        <color rgb="FF7F7F7F"/>
        <sz val="11.0"/>
      </rPr>
      <t>락인</t>
    </r>
    <r>
      <rPr>
        <rFont val="Arial"/>
        <i/>
        <color rgb="FF7F7F7F"/>
        <sz val="11.0"/>
      </rPr>
      <t>)</t>
    </r>
  </si>
  <si>
    <r>
      <rPr>
        <rFont val="Noto Sans CJK SC"/>
        <i/>
        <color rgb="FF7F7F7F"/>
        <sz val="11.0"/>
      </rPr>
      <t xml:space="preserve">예시행 </t>
    </r>
    <r>
      <rPr>
        <rFont val="Arial"/>
        <i/>
        <color rgb="FF7F7F7F"/>
        <sz val="11.0"/>
      </rPr>
      <t xml:space="preserve">- </t>
    </r>
    <r>
      <rPr>
        <rFont val="Noto Sans CJK SC"/>
        <i/>
        <color rgb="FF7F7F7F"/>
        <sz val="11.0"/>
      </rPr>
      <t>실제 데이터로 교체</t>
    </r>
  </si>
  <si>
    <t>핑크 다이어리</t>
  </si>
  <si>
    <t>여성건강</t>
  </si>
  <si>
    <t>가임기 여성</t>
  </si>
  <si>
    <t>생리주기,배란예측</t>
  </si>
  <si>
    <t>임신확률,매거진구독</t>
  </si>
  <si>
    <t>Freemium(프리미엄)</t>
  </si>
  <si>
    <t>대한산부인과의사회 공식앱, 누적설치 680만</t>
  </si>
  <si>
    <t>생리주기 예측은 통계적 추정 방식이라 개인차가 크고 배란일·임신 확률을 보장하지 않으며, 전문 의료 상담을 대체하지 않음</t>
  </si>
  <si>
    <t>기본 앱 무료(회원가입만으로 전 기능 이용 가능); 매거진 구독도 무료, 명확한 유료 인앱상품은 확인되지 않음</t>
  </si>
  <si>
    <t>마미톡</t>
  </si>
  <si>
    <t>정보제공</t>
  </si>
  <si>
    <t>임산부,초보양육자</t>
  </si>
  <si>
    <t>임신출산정보,커뮤니티</t>
  </si>
  <si>
    <t>육아용품쇼핑,전문가상담</t>
  </si>
  <si>
    <t>Two-sided Market(양면시장)</t>
  </si>
  <si>
    <t>대한민국 임신출산육아 대표앱</t>
  </si>
  <si>
    <t>분만병원 제휴 기반 광고·커머스 수익 구조라 정보 상당수가 협찬·판매 연계 콘텐츠일 수 있으며, 의료적 진단이나 상담을 대체하지 않음</t>
  </si>
  <si>
    <t>기본 앱·커뮤니티 이용 무료; 유료 전문가 클래스 멤버십 월 29,000원(1개월)~149,000원(12개월, 월환산 약 12,400원)</t>
  </si>
  <si>
    <t>블룸</t>
  </si>
  <si>
    <t>일반경쟁자</t>
  </si>
  <si>
    <t>난임부부</t>
  </si>
  <si>
    <t>B2B2C(기업복지제휴)</t>
  </si>
  <si>
    <t>난임관리,임신준비프로그램</t>
  </si>
  <si>
    <t>난임시술케어,코칭</t>
  </si>
  <si>
    <t>Performance-based Contracting(성과기반계약)</t>
  </si>
  <si>
    <t>LG화학 사내벤처, 기업 복지제휴 형태</t>
  </si>
  <si>
    <t>LG화학의 특정 난임치료 사업과 연계된 기업 운영 앱으로, 콘텐츠가 자사 제품·파트너 병원 중심으로 편중될 수 있으며 실제 진료·시술은 제공하지 않음</t>
  </si>
  <si>
    <t>완전 무료(LG화학이 운영하는 기업 브랜드 앱, 별도 결제 없음)</t>
  </si>
  <si>
    <t>자기만의방</t>
  </si>
  <si>
    <t>여성 전연령</t>
  </si>
  <si>
    <t>성건강정보,커뮤니티</t>
  </si>
  <si>
    <t>이커머스연계</t>
  </si>
  <si>
    <t>성 지식 콘텐츠, 커뮤니티 플랫폼</t>
  </si>
  <si>
    <t>성 지식 콘텐츠와 커머스 중심이라 의학적 진단이나 개인별 건강 상담 기능은 없으며, 심화 콘텐츠는 구독 결제가 필요함</t>
  </si>
  <si>
    <t>기본 콘텐츠·커뮤니티 무료; 전체 콘텐츠 무제한 이용 시 구독형 결제 월 4,900원 또는 연 47,000원</t>
  </si>
  <si>
    <t>해피문데이</t>
  </si>
  <si>
    <t>가임기여성</t>
  </si>
  <si>
    <t>D2C구독</t>
  </si>
  <si>
    <t>유기농생리대,생리용품</t>
  </si>
  <si>
    <t>주기예측,정기배송</t>
  </si>
  <si>
    <t>Subscription(구독형)</t>
  </si>
  <si>
    <t>여성 헬스케어 기업, 중기부 TIPS 지원 기업 선정. 유기농 생리대 등 여성용품 정기구독 서비스</t>
  </si>
  <si>
    <t>여성용품 판매(D2C 커머스)가 핵심 수익원이라 앱의 건강정보·주기관리 기능이 결국 자사 제품 구매로 유도하는 구조이며, 의료 상담을 대체하지 않음</t>
  </si>
  <si>
    <t>앱·멤버십 자체 이용료는 없음; 유기농 생리대 등 제품은 건별 구매(중형 생리대 1팩 약 5,000~8,000원대)이며 정기구독 시 할인·무료배송 적용</t>
  </si>
  <si>
    <t>렛허</t>
  </si>
  <si>
    <t xml:space="preserve">2030 여성 </t>
  </si>
  <si>
    <t>웹/커머스</t>
  </si>
  <si>
    <t>여성웰니스콘텐츠</t>
  </si>
  <si>
    <t>쇼핑몰</t>
  </si>
  <si>
    <t>Add-on(애드온)</t>
  </si>
  <si>
    <t>여성 웰니스 전문 미디어 &amp; 쇼핑몰. 펨테크 얼라이언스 참여사</t>
  </si>
  <si>
    <t>미디어 콘텐츠와 커머스가 결합된 소규모 스타트업으로 판매 제품 소싱과 큐레이션 범위가 제한적이며, 자체 임상·의학적 검증을 거친 콘텐츠는 아님</t>
  </si>
  <si>
    <t>콘텐츠 열람은 무료; 매출은 쇼핑몰 제품 판매 기반이며 제품군별 가격 상이</t>
  </si>
  <si>
    <t>달채비</t>
  </si>
  <si>
    <t>월경데이터,AI맞춤추천</t>
  </si>
  <si>
    <t>여성건강습관코칭</t>
  </si>
  <si>
    <t>Leverage Customer Data(데이터활용)</t>
  </si>
  <si>
    <t>디에이엘컴퍼니(이화여대 창업팀) 운영. 월경 데이터를 분석해 개인별 월경용품·건강습관을 코칭하는 펨테크 앱</t>
  </si>
  <si>
    <t>이화여대 창업팀 기반의 초기 스타트업으로 이용자 규모와 수익모델이 아직 검증 단계이며, 월경·호르몬 분석 결과가 의학적 진단을 대체하지 않음</t>
  </si>
  <si>
    <t>앱 기본 기능 무료; 명확한 유료 구독 상품·결제 정보는 공개 자료에서 확인되지 않음(현재는 무료 서비스로 추정)</t>
  </si>
  <si>
    <t>달다방</t>
  </si>
  <si>
    <t>여성 전연령(청소년 포함)</t>
  </si>
  <si>
    <t>생리주기관리,초경교육</t>
  </si>
  <si>
    <t>커뮤니티,콘텐츠,커머스</t>
  </si>
  <si>
    <t>유한킴벌리가 직접 운영하는 여성건강 플랫폼. 2026년 5월 커머스·콘텐츠 결합형으로 대대적 개편, 멀티프로필로 가족 생리주기 관리 지원</t>
  </si>
  <si>
    <t>유한킴벌리 자사·제휴 여성용품 판매와 연계된 기업 운영 앱이라 추천 제품이 자사 브랜드 위주로 편중될 수 있음</t>
  </si>
  <si>
    <t>완전 무료(유한킴벌리가 직접 운영하는 브랜드 앱; 앱 내 커머스는 제품 구매 시에만 별도 결제)</t>
  </si>
  <si>
    <t>베이비빌리</t>
  </si>
  <si>
    <t>임산부,예비부모</t>
  </si>
  <si>
    <t>임신육아정보,커뮤니티(베동)</t>
  </si>
  <si>
    <t>빌리쇼핑(커머스)</t>
  </si>
  <si>
    <t>빌리지베이비 운영. 200만 이용자를 보유한 임신·육아 콘텐츠·커머스 앱으로 2025년 말~2026년 초에도 활발히 이벤트 진행 중</t>
  </si>
  <si>
    <t>커뮤니티 게시물에 대한 AI 자동 모니터링에 의존하는 구조라 잘못된 정보나 비검증 후기가 유통될 수 있으며, 전문 의료 상담을 대체하지 않음</t>
  </si>
  <si>
    <t>완전 무료(커뮤니티·콘텐츠·쇼핑 전 기능 무료 제공, 커머스 판매 수수료가 주요 수익원)</t>
  </si>
  <si>
    <t>카이헬스</t>
  </si>
  <si>
    <t>B2B(의료기관 대상 SaaS)</t>
  </si>
  <si>
    <t>난임AI솔루션,배아분석</t>
  </si>
  <si>
    <t>비타 엠브리오</t>
  </si>
  <si>
    <t>산부인과 전문의 출신이 창업. AI로 배아 영상을 분석해 임신 성공률이 높은 배아를 선별하는 솔루션을 국내외 병원과 제휴해 제공</t>
  </si>
  <si>
    <t>일반 소비자가 직접 이용할 수 없고 제휴 의료기관을 통해서만 접근 가능하며, AI 배아 선별은 임신 성공률을 높이는 보조 수단일 뿐 시술 성공을 보장하지 않음</t>
  </si>
  <si>
    <t>B2B(의료기관 대상 계약형) 솔루션으로 소비자 대상 공개 가격 없음; 병원별 계약 조건에 따라 이용료가 상이한 것으로 추정</t>
  </si>
  <si>
    <t>듀이랩스(포이컵)</t>
  </si>
  <si>
    <t>D2C(제조판매)</t>
  </si>
  <si>
    <t>월경디스크,다회용생리컵</t>
  </si>
  <si>
    <t>식약처·FDA 허가</t>
  </si>
  <si>
    <t>Razor And Blade(레이저블레</t>
  </si>
  <si>
    <t>국내 최초 디스크형 월경컵 '포이컵'을 개발한 페미닌 헬스케어 스타트업. 2026년 기준 5년차 중소기업으로 운영 중</t>
  </si>
  <si>
    <t>삽입형 월경용품 특성상 신체 구조에 따라 착용감·적합도 차이가 크고, 원사이즈로만 판매돼 사용자에 따라 불편함을 느낄 수 있음</t>
  </si>
  <si>
    <t>포이컵 본품 정가 34,500원(1회 구매 후 반영구적 사용); 별도 구독료 없음</t>
  </si>
  <si>
    <t>슈얼리(Surely)</t>
  </si>
  <si>
    <t>가임기~갱년기 여성</t>
  </si>
  <si>
    <t>기기+소모품(D2C)</t>
  </si>
  <si>
    <t>배란테스트기,폐경호르몬(FSH)테스트기</t>
  </si>
  <si>
    <t>스마트기기 연동</t>
  </si>
  <si>
    <t>스마트 배란테스트기·임신테스트기·폐경호르몬테스트기를 기기 본체와 스트립(소모품) 형태로 판매하는 여성 호르몬 자가진단 브랜드</t>
  </si>
  <si>
    <t>스마트 기기와 스트립을 함께 구매해야 하는 소모품 구조로 초기 비용 부담이 있고, 자가진단 결과가 병원 호르몬 검사를 대체하지 않음</t>
  </si>
  <si>
    <t>스마트 기기 본체 약 5.8만원대(정가)에 테스트 스트립 10~30개입 1.4만~5만원대를 별도 구매; 비(非)스마트 스트립형은 1.4만~2만원대</t>
  </si>
  <si>
    <t>화해</t>
  </si>
  <si>
    <t>미용</t>
  </si>
  <si>
    <t>전연령뷰티소비자</t>
  </si>
  <si>
    <t>성분분석,리뷰,랭킹</t>
  </si>
  <si>
    <t>쇼핑,제품비교,피부진단</t>
  </si>
  <si>
    <t>버드뷰 운영, 국내 1등 뷰티앱</t>
  </si>
  <si>
    <t>리뷰·랭킹이 실사용자 후기 기반이라 광고성 후기나 개인차를 완전히 걸러내기 어렵고, 성분 정보가 실제 피부 반응이나 알레르기까지 보장하지 않음</t>
  </si>
  <si>
    <t>앱 이용 완전 무료; 브랜드 광고·커머스 수수료가 주요 수익원</t>
  </si>
  <si>
    <t>미미박스</t>
  </si>
  <si>
    <t>매칭연결</t>
  </si>
  <si>
    <t>커머스연계</t>
  </si>
  <si>
    <t>뷰티커머스,구독박스,브랜드쇼핑</t>
  </si>
  <si>
    <t>리뷰,해외배송</t>
  </si>
  <si>
    <t>구독형 뷰티박스로 시작, 커머스 확장</t>
  </si>
  <si>
    <t>구독박스 모델에서 일반 이커머스로 전환하며 초기의 '깜짝 큐레이션' 정체성이 약해졌고, 자체 브랜드(미미) 상품과 협찬 제품 비중이 높아 객관적 비교가 어려울 수 있음</t>
  </si>
  <si>
    <t>구독형 뷰티박스에서 이커머스로 전환; 현재는 상품별 개별 판매가로 결제(정기구독 멤버십 없음)</t>
  </si>
  <si>
    <t>글로우픽</t>
  </si>
  <si>
    <t>제품랭킹,리뷰,맞춤추천</t>
  </si>
  <si>
    <t>소핑연계,체험단,리워드</t>
  </si>
  <si>
    <t>100만명 이상 리뷰 데이터 기반 뷰티 랭킹 서비스</t>
  </si>
  <si>
    <t>리뷰 수 기반 랭킹이라 신제품이나 마케팅 예산이 적은 브랜드는 상위 노출되기 어려우며, 체험단 후기가 섞여 있어 완전한 객관성을 담보하기 어려움</t>
  </si>
  <si>
    <t>앱 이용 무료; 브랜드 제휴·광고 수익 기반</t>
  </si>
  <si>
    <t>언니의파우치</t>
  </si>
  <si>
    <t>리뷰,화장품검색/추천,커뮤니티</t>
  </si>
  <si>
    <t>랭킹,체험단,쇼핑연</t>
  </si>
  <si>
    <t>화장품 리뷰/실사용자 체험단 기반 뷰티 정보 앱, 화해/글로우픽과 함께 3대 뷰티 리뷰앱으로 거론</t>
  </si>
  <si>
    <t>체험단 후기 비중이 높아 일반 구매 후기와 섞일 경우 객관성 판단이 어려우며, 화해·글로우픽 대비 사용자 규모가 작아 리뷰 데이터량이 상대적으로 적음</t>
  </si>
  <si>
    <t>앱 이용 무료; 체험단·광고 수익 기반</t>
  </si>
  <si>
    <t>강남언니</t>
  </si>
  <si>
    <t>성형/피부시술관심</t>
  </si>
  <si>
    <t>성형정보,후기</t>
  </si>
  <si>
    <t>병원매칭,상담예약</t>
  </si>
  <si>
    <t>성형/피부과 후기 및 병원 매칭 플랫폼, 국내 대표 의료미용 정보 앱</t>
  </si>
  <si>
    <t>병원 정보가 광고비를 지불한 제휴 병원 위주로 노출될 수 있어 완전히 중립적인 비교는 어려우며, 시술 후기의 진위 여부를 이용자가 직접 판단해야 함</t>
  </si>
  <si>
    <t>앱 이용 무료; 병원 광고·매칭 수수료가 주요 수익원</t>
  </si>
  <si>
    <t>바비톡</t>
  </si>
  <si>
    <t>강남언니와 함께 국내 양대 성형정보 매칭 플랫폼으로 거론</t>
  </si>
  <si>
    <t>강남언니와 마찬가지로 병원 제휴·광고 기반 노출 구조이며, 실제 시술 결과와 후기 사진의 진위를 이용자가 직접 검증해야 함</t>
  </si>
  <si>
    <t>톤28</t>
  </si>
  <si>
    <t>맞춤형화장품,피부측정</t>
  </si>
  <si>
    <t>28일주기정기배송</t>
  </si>
  <si>
    <t>2016년 설립, 개인별 피부측정 기반 맞춤형 화장품 배송, 아모레퍼시픽 투자 유치로 화제</t>
  </si>
  <si>
    <t>가격대가 일반 시판 화장품보다 높은 편이라 가격 저항이 있고, 개인 피부측정 데이터 기반 맞춤 조제 방식은 대량생산 대비 생산·재고 관리가 까다로움</t>
  </si>
  <si>
    <t>맞춤형 화장품 정기배송 기준 세트당 약 3만~5만원대(28일 주기); 개별 제품(샴푸바 등)은 1.7만~2.5만원대</t>
  </si>
  <si>
    <t>룰루랩</t>
  </si>
  <si>
    <t>디바이스+앱(오프라인매장배치)</t>
  </si>
  <si>
    <t>AI피부측정,맞춤솔루션제공</t>
  </si>
  <si>
    <t>제품큐레이션서비스</t>
  </si>
  <si>
    <t>Sensor As A Service(센서서비스)</t>
  </si>
  <si>
    <t>AI 피부진단 디바이스로 올리브영 등 매장에 배치, 진단데이터 기반 맞춤 화장품 추천 서비스 제공</t>
  </si>
  <si>
    <t>개인이 앱만으로 단독 이용할 수 없고 올리브영 등 제휴 매장 방문이 필요하며, 진단 결과가 해당 매장 취급 제품 추천으로 이어져 상업적 편향 가능성이 있음</t>
  </si>
  <si>
    <t>B2B 디바이스 배치·솔루션 계약형으로 소비자 대상 개별 결제 없음(매장 방문 시 무료 진단, 매출은 입점사·기업 계약 기반)</t>
  </si>
  <si>
    <t>여신티켓</t>
  </si>
  <si>
    <t>병원비교,예약,상담,후기</t>
  </si>
  <si>
    <t>AI 피부진단,맞춤추천</t>
  </si>
  <si>
    <t>피부관리샵/네일샵 등 뷰티샵 예약 매칭 플랫폼</t>
  </si>
  <si>
    <t>강남언니·바비톡과 유사하게 제휴 병원 광고 노출 구조이며, 예약 시스템 특성상 실제 시술 여부와 후기 신뢰도를 이용자가 직접 확인해야 함</t>
  </si>
  <si>
    <t>앱 이용 무료; 병원 광고·예약 수수료 기반</t>
  </si>
  <si>
    <t>잼페이스</t>
  </si>
  <si>
    <t>AI퍼스널컬러진단,가상메이크업,화장품검색/추천</t>
  </si>
  <si>
    <t>리뷰,맞춤추천,쇼핑연계</t>
  </si>
  <si>
    <t>2018년 출시, 정기 랭킹/투표 기반 화장품 큐레이션 서비스</t>
  </si>
  <si>
    <t>AI 퍼스널컬러·피부진단이 카메라·조명 등 촬영 환경에 따라 정확도가 달라질 수 있고, 진단 결과가 협찬·광고 제품 추천으로 연결될 가능성이 있음</t>
  </si>
  <si>
    <t>앱 이용 무료; 화장품 매칭·광고 수익 기반</t>
  </si>
  <si>
    <t>마메드네(구 카카오헤어샵)</t>
  </si>
  <si>
    <t>헤어샵예약,AI헤어시뮬레이션</t>
  </si>
  <si>
    <t>네일,왁싱,에스테틱 예약</t>
  </si>
  <si>
    <t>Self-service(셀프서비스)</t>
  </si>
  <si>
    <t>2016년 카카오헤어샵으로 출시, 2024년 스타트업 '글리티(Glity)'가 인수해 '마메드네'로 리브랜딩. AI 헤어 시뮬레이션으로 실제 디자이너 시술 포트폴리오 기반 스타일을 미리 확인 후 예약 가능</t>
  </si>
  <si>
    <t>예약 시스템을 도입한 매장 자체가 아직 많지 않아 이용 가능 지역·매장이 제한적이고, 실제 방문 시 이벤트 쿠폰 외 시술 가격은 저렴하지 않다는 이용자 불만이 있음</t>
  </si>
  <si>
    <t>앱 이용(고객용) 무료; 실제 시술 요금은 매장별 상이하며 회원 전용 월간 쿠폰으로 할인 제공</t>
  </si>
  <si>
    <t>Sephora</t>
  </si>
  <si>
    <t>화장품검색/쇼핑, 리뷰,가상메이크업,상담</t>
  </si>
  <si>
    <t>AI맞춤추천,뷰티클래스</t>
  </si>
  <si>
    <t>뷰티 커머스 + 로열티 플랫폼</t>
  </si>
  <si>
    <t>한국 시장에서는 코로나19와 올리브영 등 경쟁에 밀려 2024년 5월 오프라인 매장·온라인몰·앱을 모두 철수했으며, 이후 국내 이용자는 해외(미국 등) 계정과 배송으로만 접근 가능함</t>
  </si>
  <si>
    <t>앱 이용 무료; 로열티 프로그램(Beauty Insider) 무료 가입, 등급별 혜택 차등, 상품은 개별 구매가</t>
  </si>
  <si>
    <t>Musely</t>
  </si>
  <si>
    <t>피부트러블여성</t>
  </si>
  <si>
    <t>원격진료연계</t>
  </si>
  <si>
    <t>AI피부분석,처방연계</t>
  </si>
  <si>
    <t>AI기반맞춤스킨케어루틴추천,피부관리콘텐츠</t>
  </si>
  <si>
    <t>AI 피부분석 후 처방 연계형 스킨케어</t>
  </si>
  <si>
    <t>미국 원격의료 규제 하에서 운영되는 서비스로 한국에서는 정식 이용이 불가능하며, 처방 연계 스킨케어는 의사의 원격 진단 결과에 의존함</t>
  </si>
  <si>
    <t>앱 이용 무료; AI 피부분석 후 처방이 필요하면 원격진료·처방 스킨케어 비용이 별도 발생(미국 기준 월 구독형)</t>
  </si>
  <si>
    <t>CP028</t>
  </si>
  <si>
    <t>마인드카페</t>
  </si>
  <si>
    <t>정신건강</t>
  </si>
  <si>
    <t>개인,기업임직원</t>
  </si>
  <si>
    <t>심리상담/멘탈케어 플랫폼</t>
  </si>
  <si>
    <t>심리상담,코칭,EAP</t>
  </si>
  <si>
    <t>익명커뮤니티,심리검사,온오프라인상담</t>
  </si>
  <si>
    <t>국내 대표 멘탈케어 플랫폼, 개인 상담과 기업 EAP 모두 운영</t>
  </si>
  <si>
    <t>정신건강|매칭연결|개인,기업임직원|심리상담/멘탈케어 플랫폼|Two-sided Market(양면시장)</t>
  </si>
  <si>
    <t>상담 품질과 결과가 상담사 역량 및 매칭 적합도에 크게 좌우되며, 상담 이용료가 누적되면 비용 부담이 커질 수 있음</t>
  </si>
  <si>
    <t>온라인 심리상담 1회기 43,000원부터; 코칭상담 1회기 40,000원부터; 심리검사·해석상담 25,000~75,000원; 오프라인·검사 상품별 상이</t>
  </si>
  <si>
    <t>CP029</t>
  </si>
  <si>
    <t>트로스트</t>
  </si>
  <si>
    <t>개인</t>
  </si>
  <si>
    <t>비대면 심리상담 앱</t>
  </si>
  <si>
    <t>심리상담,심리검사,명상</t>
  </si>
  <si>
    <t>상담사매칭,커뮤니티,텍스트상담</t>
  </si>
  <si>
    <t>국내 비대면 심리상담 앱, 상담사 매칭과 심리검사 제공</t>
  </si>
  <si>
    <t>정신건강|매칭연결|개인|비대면 심리상담 앱|Two-sided Market(양면시장)</t>
  </si>
  <si>
    <t>비대면 상담 중심이라 대면 상담 대비 관계 형성과 비언어적 정보 전달에 한계가 있으며, 상담사별 가격과 품질 편차가 존재함</t>
  </si>
  <si>
    <t>텍스트 테라피 1일권 15,000원, 7일권 40,000원, 30일권 100,000원, 90일권 240,000원; 전화상담 30분 40,000원; 화상상담 30분 50,000원</t>
  </si>
  <si>
    <t>CP030</t>
  </si>
  <si>
    <t>마보</t>
  </si>
  <si>
    <t>명상/마음챙김 앱</t>
  </si>
  <si>
    <t>명상,마음챙김,스트레스관리</t>
  </si>
  <si>
    <t>수면,불안,번아웃,EAP</t>
  </si>
  <si>
    <t>국내 마음챙김 명상 앱, B2C 구독과 기업 EAP 모델 운영</t>
  </si>
  <si>
    <t>정신건강|정보제공|개인,기업임직원|명상/마음챙김 앱|Subscription(구독형)</t>
  </si>
  <si>
    <t>명상 콘텐츠와 자기관리 중심 서비스로, 중증 정신건강 문제나 전문적인 치료·진단을 대체하기 어려움</t>
  </si>
  <si>
    <t>7일 무료체험 후 정기구독; 월 5,900원, 3개월 17,500원, 6개월 29,000원, 12개월 47,000원; 앱스토어 기준</t>
  </si>
  <si>
    <t>CP031</t>
  </si>
  <si>
    <t>코끼리</t>
  </si>
  <si>
    <t>수면/명상 콘텐츠 앱</t>
  </si>
  <si>
    <t>명상,수면,ASMR</t>
  </si>
  <si>
    <t>힐링콘텐츠,마음챙김,수면관리</t>
  </si>
  <si>
    <t>국내 수면·명상 콘텐츠 앱, 아토머스가 인수해 마인드카페와 연계 가능</t>
  </si>
  <si>
    <t>정신건강|정보제공|개인|수면/명상 콘텐츠 앱|Freemium(프리미엄)</t>
  </si>
  <si>
    <t>콘텐츠 소비와 자기관리 중심이라 개인별 상담이나 임상적 개입이 부족하며, 유료 콘텐츠 이용을 위해 구독이 필요할 수 있음</t>
  </si>
  <si>
    <t>일부 콘텐츠 무료 제공; 유료 콘텐츠·구독형 이용권 제공; 정확한 최신 요금은 앱 결제 화면 확인 필요</t>
  </si>
  <si>
    <t>CP032</t>
  </si>
  <si>
    <t>하루콩</t>
  </si>
  <si>
    <t>감정 기록 앱</t>
  </si>
  <si>
    <t>감정기록,무드트래킹,일기</t>
  </si>
  <si>
    <t>감정리포트,습관기록,자가이해</t>
  </si>
  <si>
    <t>블루시그넘의 감정 기록 앱, 감정 데이터를 기반으로 자기이해 지원</t>
  </si>
  <si>
    <t>정신건강|데이터기록관리|개인|감정 기록 앱|Freemium(프리미엄)</t>
  </si>
  <si>
    <t>감정과 활동을 기록하는 데 초점이 있어 기록만으로 문제 해결이나 전문적인 심리 개입까지 이어지기 어려움</t>
  </si>
  <si>
    <t>기본 기록 기능 무료; 일부 기능·콘텐츠의 유료 여부 및 최신 요금은 앱스토어 확인 필요</t>
  </si>
  <si>
    <t>CP033</t>
  </si>
  <si>
    <t>무디</t>
  </si>
  <si>
    <t>AI 감정 가이드 앱</t>
  </si>
  <si>
    <t>감정관리,AI가이드,심리퀘스트</t>
  </si>
  <si>
    <t>감정태그,트레이닝,스토리콘텐츠</t>
  </si>
  <si>
    <t>블루시그넘의 감정 관리 앱, 감정별 퀘스트와 사고방식 훈련 제공</t>
  </si>
  <si>
    <t>정신건강|개입치료|개인|AI 감정 가이드 앱|Freemium(프리미엄)</t>
  </si>
  <si>
    <t>AI가 제공하는 감정 가이드는 전문 상담이나 치료를 대체할 수 없으며, 입력 내용에 따라 추천의 정확도와 적합도가 달라질 수 있음</t>
  </si>
  <si>
    <t>기본 기능 무료 또는 인앱결제 제공; 정확한 유료 기능과 요금은 앱스토어 확인 필요</t>
  </si>
  <si>
    <t>CP034</t>
  </si>
  <si>
    <t>마인들링</t>
  </si>
  <si>
    <t>마인드케어 앱</t>
  </si>
  <si>
    <t>마음관리,자가관리,심리콘텐츠</t>
  </si>
  <si>
    <t>맞춤케어,정서관리,스트레스관리</t>
  </si>
  <si>
    <t>개인 맞춤형 마인드케어 앱으로 분류 가능</t>
  </si>
  <si>
    <t>정신건강|개입치료|개인|마인드케어 앱|Subscription(구독형)</t>
  </si>
  <si>
    <t>자가관리와 콘텐츠 중심 서비스로 위기 상황이나 복합적인 정신건강 문제에 대한 전문적 대응이 제한될 수 있음</t>
  </si>
  <si>
    <t>구독형 서비스로 분류; 월·연 구독료와 무료체험 여부는 최신 앱 결제 화면 확인 필요</t>
  </si>
  <si>
    <t>CP035</t>
  </si>
  <si>
    <t>디스턴싱</t>
  </si>
  <si>
    <t>비약물 심리치료 앱</t>
  </si>
  <si>
    <t>심리치료,자가개입,마음관리</t>
  </si>
  <si>
    <t>불안,우울,비약물치료,자가훈련</t>
  </si>
  <si>
    <t>비약물 심리치료·자가개입형 서비스로 PREP의 개입치료 축 참고 가능</t>
  </si>
  <si>
    <t>정신건강|개입치료|개인|비약물 심리치료 앱|Subscription(구독형)</t>
  </si>
  <si>
    <t>비약물 자가개입 중심이어서 고위험 우울·불안이나 진단·처방이 필요한 이용자에게는 충분하지 않을 수 있음</t>
  </si>
  <si>
    <t>구독형 서비스로 분류; 정확한 월·연 요금은 공개 자료 추가 확인 필요</t>
  </si>
  <si>
    <t>CP036</t>
  </si>
  <si>
    <t>네이버 엑스퍼트 심리상담</t>
  </si>
  <si>
    <t>전문가 상담 마켓플레이스</t>
  </si>
  <si>
    <t>전문가매칭,온라인상담,심리상담</t>
  </si>
  <si>
    <t>채팅상담,음성상담,영상상담</t>
  </si>
  <si>
    <t>네이버 기반 전문가 상담 플랫폼, 심리상담 카테고리 포함</t>
  </si>
  <si>
    <t>정신건강|매칭연결|개인|전문가 상담 마켓플레이스|Two-sided Market(양면시장)</t>
  </si>
  <si>
    <t>대형 플랫폼의 전문가 선택지는 넓지만 상담 품질과 전문성의 편차를 이용자가 직접 판단해야 함</t>
  </si>
  <si>
    <t>상담 전문가·상품별 개별 결제; 채팅·음성·영상 상담 가격은 전문가와 상품에 따라 상이</t>
  </si>
  <si>
    <t>CP037</t>
  </si>
  <si>
    <t>퍼플웨일</t>
  </si>
  <si>
    <t>개인,환자</t>
  </si>
  <si>
    <t>신체화 장애 관리 서비스</t>
  </si>
  <si>
    <t>신체화장애,PHR,정신건강</t>
  </si>
  <si>
    <t>증상기록,자가관리,디지털케어</t>
  </si>
  <si>
    <t>Digitization(디지털전환)</t>
  </si>
  <si>
    <t>휴레이포지티브 포트폴리오 내 신체화 장애 관리 서비스</t>
  </si>
  <si>
    <t>정신건강|데이터기록관리|개인,환자|신체화 장애 관리 서비스|Digitization(디지털전환)</t>
  </si>
  <si>
    <t>특정 신체화 증상 관리에 초점이 맞춰져 있어 일반적인 정신건강 관리나 다양한 질환으로의 확장성이 제한될 수 있음</t>
  </si>
  <si>
    <t>기관·서비스 계약 기반으로 추정; 개인 이용자용 공개 가격 확인 필요</t>
  </si>
  <si>
    <t>CP038</t>
  </si>
  <si>
    <t>옴니핏 마인드케어</t>
  </si>
  <si>
    <t>개인,기관</t>
  </si>
  <si>
    <t>스트레스/두뇌건강 측정 솔루션</t>
  </si>
  <si>
    <t>스트레스측정,HRV,뇌파</t>
  </si>
  <si>
    <t>멘탈헬스트래커,생체신호,기관용</t>
  </si>
  <si>
    <t>생체신호 기반 정신건강 상태 측정 솔루션으로 분류 가능</t>
  </si>
  <si>
    <t>정신건강|데이터기록관리|개인,기관|스트레스/두뇌건강 측정 솔루션|Sensor As A Service(센서서비스)</t>
  </si>
  <si>
    <t>생체신호 측정 결과가 심리 상태를 완전히 설명하지 못하며, 측정 장비와 환경에 따라 결과가 달라질 수 있음</t>
  </si>
  <si>
    <t>기관·기업 대상 솔루션 계약형으로 추정; 장비·구축·이용 범위별 견적형, 공개 가격 미확인</t>
  </si>
  <si>
    <t>CP039</t>
  </si>
  <si>
    <t>상담 오랑</t>
  </si>
  <si>
    <t>청년</t>
  </si>
  <si>
    <t>청년 마음건강 상담 서비스</t>
  </si>
  <si>
    <t>청년상담,마음건강,공공상담</t>
  </si>
  <si>
    <t>온라인상담,생활상담,1대1상담</t>
  </si>
  <si>
    <t>민간 기업은 아니지만 국내 청년 대상 마음건강 상담 접근 방식 참고용</t>
  </si>
  <si>
    <t>정신건강|매칭연결|청년|청년 마음건강 상담 서비스|Self-service(셀프서비스)</t>
  </si>
  <si>
    <t>공공 상담 서비스로 대상·지역·운영시간에 제한이 있을 수 있으며, 전문 치료나 지속적인 임상 상담을 대체하지 않음</t>
  </si>
  <si>
    <t>청년 대상 공공 상담; 무료 상담 중심, 이용 조건·운영 지역별 상이</t>
  </si>
  <si>
    <t>CP040</t>
  </si>
  <si>
    <t>카카오헬스케어 파스타</t>
  </si>
  <si>
    <t>만성질환</t>
  </si>
  <si>
    <t>개인,당뇨위험군,당뇨환자</t>
  </si>
  <si>
    <t>혈당/체중 관리 앱</t>
  </si>
  <si>
    <t>혈당관리,CGM,체중관리</t>
  </si>
  <si>
    <t>AI푸드샷,리포트,생활습관,의료진연계</t>
  </si>
  <si>
    <t>카카오헬스케어의 CGM 연동 혈당 관리 및 체중 관리 서비스</t>
  </si>
  <si>
    <t>만성질환|데이터기록관리|개인,당뇨위험군,당뇨환자|혈당/체중 관리 앱|Freemium(프리미엄)</t>
  </si>
  <si>
    <t>CGM과 생활데이터를 활용하려면 호환 기기나 지속적인 기록이 필요하며, 의료적 진단·치료를 대체하지 않음</t>
  </si>
  <si>
    <t>기본 앱 이용 및 기능별 과금 구조는 서비스 정책에 따라 상이; CGM 기기·센서 비용 별도 가능; 최신 가격 확인 필요</t>
  </si>
  <si>
    <t>CP041</t>
  </si>
  <si>
    <t>닥터다이어리</t>
  </si>
  <si>
    <t>개인,당뇨환자</t>
  </si>
  <si>
    <t>혈당/식단/체중 관리 앱</t>
  </si>
  <si>
    <t>당뇨,혈당,식단관리</t>
  </si>
  <si>
    <t>커뮤니티,만보기,체중,혈압</t>
  </si>
  <si>
    <t>국내 당뇨·혈당 관리 커뮤니티형 건강관리 앱</t>
  </si>
  <si>
    <t>만성질환|데이터기록관리|개인,당뇨환자|혈당/식단/체중 관리 앱|Freemium(프리미엄)</t>
  </si>
  <si>
    <t>당뇨 관리 커뮤니티와 기록 기능에 강점이 있으나, 커뮤니티 정보의 정확성과 개인별 의료적 적합성을 별도로 확인해야 함</t>
  </si>
  <si>
    <t>기본 건강기록·커뮤니티 무료 이용 가능; 일부 유료 기능·상품 여부와 최신 요금은 앱 확인 필요</t>
  </si>
  <si>
    <t>CP042</t>
  </si>
  <si>
    <t>휴레이포지티브 Balance</t>
  </si>
  <si>
    <t>개인,기업임직원,만성질환자</t>
  </si>
  <si>
    <t>AI 건강관리 컴패니언 앱</t>
  </si>
  <si>
    <t>만성질환,혈당,혈압</t>
  </si>
  <si>
    <t>영양,활동,수면,정서,AI투두</t>
  </si>
  <si>
    <t>혈당·혈압·영양·활동 등 라이프로그 기반 만성질환 관리</t>
  </si>
  <si>
    <t>만성질환|개입치료|개인,기업임직원,만성질환자|AI 건강관리 컴패니언 앱|Subscription(구독형)</t>
  </si>
  <si>
    <t>다양한 건강 데이터를 통합하지만 사용자가 지속적으로 데이터를 입력·연동해야 하며, 개인별 의료 판단을 대체하지 않음</t>
  </si>
  <si>
    <t>구독형 또는 기업·기관 계약형으로 추정; 개인 구독료와 B2B 이용료 공개 자료 미확인</t>
  </si>
  <si>
    <t>CP043</t>
  </si>
  <si>
    <t>아이쿱 DoctorVice</t>
  </si>
  <si>
    <t>의료진,환자</t>
  </si>
  <si>
    <t>스마트 진료/환자 커뮤니케이션 플랫폼</t>
  </si>
  <si>
    <t>만성질환,의료진연계,진료지원</t>
  </si>
  <si>
    <t>환자교육,상담,CGM Live,데이터공유</t>
  </si>
  <si>
    <t>의료진과 환자 간 질환 설명·상담·데이터 공유를 지원하는 플랫폼</t>
  </si>
  <si>
    <t>만성질환|매칭연결|의료진,환자|스마트 진료/환자 커뮤니케이션 플랫폼|Subscription(구독형)</t>
  </si>
  <si>
    <t>의료진 참여와 기관 시스템 연동이 필요해 일반 소비자가 단독으로 이용하기 어렵고, 도입 기관에 따라 이용 범위가 달라질 수 있음</t>
  </si>
  <si>
    <t>의료기관·의료진 대상 계약형 서비스로 추정; 기관별 견적·계약 조건, 공개 가격 미확인</t>
  </si>
  <si>
    <t>CP044</t>
  </si>
  <si>
    <t>엠서클 웰체크</t>
  </si>
  <si>
    <t>고혈압환자,당뇨환자,의료진</t>
  </si>
  <si>
    <t>일차의료 만성질환 관리 앱</t>
  </si>
  <si>
    <t>고혈압,당뇨,일차의료</t>
  </si>
  <si>
    <t>혈압기록,혈당기록,주치의공유,비대면진료</t>
  </si>
  <si>
    <t>일차의료 만성질환관리사업과 연결된 혈압·혈당 기록/공유 앱</t>
  </si>
  <si>
    <t>만성질환|데이터기록관리|고혈압환자,당뇨환자,의료진|일차의료 만성질환 관리 앱|Digitization(디지털전환)</t>
  </si>
  <si>
    <t>일차의료기관과의 연계가 전제되어 일반 소비자 단독 이용이 제한될 수 있으며, 의료진 참여 수준에 따라 활용도가 달라짐</t>
  </si>
  <si>
    <t>의료기관·공공사업 도입 및 계약형으로 추정; 환자 개인 이용료 공개 자료 미확인</t>
  </si>
  <si>
    <t>CP045</t>
  </si>
  <si>
    <t>아이센스 케어센스 에어</t>
  </si>
  <si>
    <t>당뇨환자</t>
  </si>
  <si>
    <t>연속혈당측정기/혈당관리 솔루션</t>
  </si>
  <si>
    <t>당뇨,CGM,혈당측정</t>
  </si>
  <si>
    <t>실시간혈당,센서,앱연동,자가관리</t>
  </si>
  <si>
    <t>국내 기업 아이센스의 연속혈당측정기 및 혈당 관리 제품군</t>
  </si>
  <si>
    <t>만성질환|데이터기록관리|당뇨환자|연속혈당측정기/혈당관리 솔루션|Sensor As A Service(센서서비스)</t>
  </si>
  <si>
    <t>CGM 센서 착용과 소모품 비용이 발생하며, 측정 데이터가 혈당 관리에 도움을 주더라도 의료진의 진료를 대체하지 않음</t>
  </si>
  <si>
    <t>센서·기기 구매형 또는 소모품 반복 구매형; 정확한 케어센스 에어 판매가와 보험·지원 여부는 판매처별 확인 필요</t>
  </si>
  <si>
    <t>CP046</t>
  </si>
  <si>
    <t>인바디</t>
  </si>
  <si>
    <t>개인,병원,피트니스센터,주거단지</t>
  </si>
  <si>
    <t>체성분/건강 데이터 관리 솔루션</t>
  </si>
  <si>
    <t>체성분,비만,혈압</t>
  </si>
  <si>
    <t>인바디앱,건강관리플랫폼,홈헬스케어,운동추천</t>
  </si>
  <si>
    <t>체성분·혈압 등 생체지표 기반 건강관리 솔루션, 비만/대사질환 관리 참고</t>
  </si>
  <si>
    <t>만성질환|데이터기록관리|개인,병원,피트니스센터,주거단지|체성분/건강 데이터 관리 솔루션|Sensor As A Service(센서서비스)</t>
  </si>
  <si>
    <t>체성분 측정값과 건강관리 추천만으로 질환을 진단하기 어렵고, 측정기기 설치와 사용 환경에 따라 접근성이 달라짐</t>
  </si>
  <si>
    <t>기기 판매·설치 및 기업·병원·피트니스센터 계약형이 혼합된 구조; 제품·서비스별 가격 상이</t>
  </si>
  <si>
    <t>CP047</t>
  </si>
  <si>
    <t>메쥬 하이카디</t>
  </si>
  <si>
    <t>병원,의료진,심장질환환자</t>
  </si>
  <si>
    <t>웨어러블 원격 환자 모니터링</t>
  </si>
  <si>
    <t>심전도,부정맥,원격모니터링</t>
  </si>
  <si>
    <t>웨어러블패치,ECG,병원모니터링,재택관리</t>
  </si>
  <si>
    <t>웨어러블 기반 ECG 측정 및 이동형 원격 환자 모니터링 플랫폼</t>
  </si>
  <si>
    <t>만성질환|데이터기록관리|병원,의료진,심장질환환자|웨어러블 원격 환자 모니터링|Sensor As A Service(센서서비스)</t>
  </si>
  <si>
    <t>웨어러블 착용과 의료기관 연동이 필요하며, 측정 데이터의 해석과 임상적 조치는 의료진에게 의존함</t>
  </si>
  <si>
    <t>의료기관 대상 장비·솔루션 계약형; 웨어러블 기기·소프트웨어·모니터링 범위별 견적, 공개 가격 미확인</t>
  </si>
  <si>
    <t>CP048</t>
  </si>
  <si>
    <t>딥카디오</t>
  </si>
  <si>
    <t>의료진,심혈관질환위험군</t>
  </si>
  <si>
    <t>AI 심전도 분석 솔루션</t>
  </si>
  <si>
    <t>심혈관질환,심전도,AI분석</t>
  </si>
  <si>
    <t>심방세동,심부전,심장나이,위험도예측</t>
  </si>
  <si>
    <t>ECG 데이터를 AI로 분석해 심혈관 질환 위험 예측</t>
  </si>
  <si>
    <t>만성질환|정보제공|의료진,심혈관질환위험군|AI 심전도 분석 솔루션|Leverage Customer Data(데이터활용)</t>
  </si>
  <si>
    <t>AI 분석 결과는 위험도 예측을 지원하는 보조 수단이며, 확정 진단이나 치료 결정을 단독으로 수행할 수 없음</t>
  </si>
  <si>
    <t>의료기관·기업 대상 B2B 솔루션 계약형으로 추정; 분석 건수·기관 규모별 견적, 공개 가격 미확인</t>
  </si>
  <si>
    <t>CP049</t>
  </si>
  <si>
    <t>GC케어 어떠케어</t>
  </si>
  <si>
    <t>개인 맞춤 건강관리 앱</t>
  </si>
  <si>
    <t>건강관리,검진,생활습관</t>
  </si>
  <si>
    <t>맞춤콘텐츠,건강리포트,기업복지</t>
  </si>
  <si>
    <t>GC케어의 개인 맞춤형 건강관리 앱, 만성질환 예방/관리 흐름 참고</t>
  </si>
  <si>
    <t>만성질환|정보제공|개인,기업임직원|개인 맞춤 건강관리 앱|Digitization(디지털전환)</t>
  </si>
  <si>
    <t>건강검진과 생활습관 데이터에 의존하므로 데이터 연동 수준에 따라 개인화 품질이 달라지고, 의료적 관리가 필요한 경우 한계가 있음</t>
  </si>
  <si>
    <t>개인용 앱과 기업 복지·건강관리 계약이 혼합된 구조로 추정; 개인 유료 기능·기업 계약료 공개 자료 미확인</t>
  </si>
  <si>
    <t>CP050</t>
  </si>
  <si>
    <t>파프리카케어</t>
  </si>
  <si>
    <t>개인,복약관리사용자</t>
  </si>
  <si>
    <t>복약/건강정보 관리 앱</t>
  </si>
  <si>
    <t>복약관리,약정보,건강기록</t>
  </si>
  <si>
    <t>약알림,처방전,부작용정보,건강데이터</t>
  </si>
  <si>
    <t>복약 데이터와 건강정보를 관리하는 앱으로 만성질환 복약관리 참고 가능</t>
  </si>
  <si>
    <t>만성질환|데이터기록관리|개인,복약관리사용자|복약/건강정보 관리 앱|Freemium(프리미엄)</t>
  </si>
  <si>
    <t>복약 알림과 약 정보 제공 중심이라 복약 순응도나 치료 결과를 보장하지 않으며, 약물 변경·중단 판단은 지원하지 않음</t>
  </si>
  <si>
    <t>기본 앱 무료 또는 프리미엄 구조로 분류; 유료 기능과 최신 요금은 앱스토어 확인 필요</t>
  </si>
  <si>
    <t>CP051</t>
  </si>
  <si>
    <t>세컨드닥터</t>
  </si>
  <si>
    <t>암환자,보호자</t>
  </si>
  <si>
    <t>암 환자 관리/교육 서비스</t>
  </si>
  <si>
    <t>암,환자관리,자가관리</t>
  </si>
  <si>
    <t>치료여정,교육콘텐츠,증상관리,보호자지원</t>
  </si>
  <si>
    <t>암 환자의 치료 과정 관리와 자가관리 지원 서비스로 만성질환 케어 참고</t>
  </si>
  <si>
    <t>만성질환|개입치료|암환자,보호자|암 환자 관리/교육 서비스|Subscription(구독형)</t>
  </si>
  <si>
    <t>암종과 치료 단계별 요구가 다양해 콘텐츠·자가관리만으로 개인의 치료 의사결정을 충분히 지원하기 어려움</t>
  </si>
  <si>
    <t>구독형 서비스로 분류; 월·연 구독료 및 보호자 요금제 공개 자료 미확인</t>
  </si>
  <si>
    <t>CP052</t>
  </si>
  <si>
    <t>헬스맥스</t>
  </si>
  <si>
    <t>지자체,기관,개인</t>
  </si>
  <si>
    <t>스마트 건강관리/만성질환 관리 솔루션</t>
  </si>
  <si>
    <t>혈압,혈당,비만관리</t>
  </si>
  <si>
    <t>건강측정,공공헬스케어,원격관리,생활습관</t>
  </si>
  <si>
    <t>공공/기관 중심의 혈압·혈당·비만 등 건강 측정 및 관리 솔루션</t>
  </si>
  <si>
    <t>만성질환|데이터기록관리|지자체,기관,개인|스마트 건강관리/만성질환 관리 솔루션|Digitization(디지털전환)</t>
  </si>
  <si>
    <t>기관·지자체 도입 의존도가 높아 개인 사용자의 접근성이 낮을 수 있으며, 측정 결과만으로 질환 관리 효과를 보장하기 어려움</t>
  </si>
  <si>
    <t>지자체·기관 대상 구축·운영 계약형으로 추정; 장비·플랫폼·운영 범위별 견적, 공개 가격 미확인</t>
  </si>
  <si>
    <t>꿀잠닥터</t>
  </si>
  <si>
    <t>수면</t>
  </si>
  <si>
    <t>수면개선희망자</t>
  </si>
  <si>
    <t>수면 코칭, 수면 일기, 맞춤 루틴</t>
  </si>
  <si>
    <t>콘텐츠 추천, 주간 리포트</t>
  </si>
  <si>
    <t xml:space="preserve">구글플레이 설명상 수면 연구 데이터 기반 코칭 앱. 개발사/연락처가 한국으로 표기됨. 요금제는 확인 필요. </t>
  </si>
  <si>
    <t>사용자 수동 기록(설문·활동) 및 외부 콘텐츠(유튜브·블로그) 추천 중심이라 정밀한 수면 측정이나 전문 의료 진단에는 한계가 있고 다운로드 규모가 적음</t>
  </si>
  <si>
    <t>완전 무료</t>
  </si>
  <si>
    <t>슬립큐(SleepQ)</t>
  </si>
  <si>
    <t>불면증환자</t>
  </si>
  <si>
    <t>디지털치료, 수면습관 교정, 처방 프로그램</t>
  </si>
  <si>
    <t>의사 모니터링, 6주 치료</t>
  </si>
  <si>
    <t>웰트 개발 불면증 디지털 치료제,디지털 의료기기, 병원 처방 및 비대면 진료 통한 앱 접근이 가능</t>
  </si>
  <si>
    <t>식약처 허가를 받은 전문 디지털 치료기기(DTx)로 의사의 진단 및 처방이 필수적이라 일반 소비자의 자유로운 사용 접근성이 제한됨</t>
  </si>
  <si>
    <t>앱 다운로드는 무료이나, 단 의사처방 인증코드 필요. 처방 프로그램 비용 약 20- 25만원 내외, 실손보험 적용시 실제 부담금 25000원 정도 수준으로 낮아질 수 있음.</t>
  </si>
  <si>
    <t>Nightly(미라클나잇)</t>
  </si>
  <si>
    <t>모노럴비트, 수면 유도, 알람</t>
  </si>
  <si>
    <t>명상, 기상 루틴</t>
  </si>
  <si>
    <t>AI·뇌과학 기반 수면 유도 앱</t>
  </si>
  <si>
    <t>수면 유도 음악·영상·알림 중심으로, 심각한 수면장애의 의학적 해결에는 한계. 콘텐츠 이용을 위해 구독이 필요할 수 있음</t>
  </si>
  <si>
    <t>기본 무료(일부 기능 체험), 1개월 이용권 월 7,700원 / 12개월 이용권 연 77,000원 (정기 자동 결제, 무료 체험 기간 제공)</t>
  </si>
  <si>
    <t>알라미</t>
  </si>
  <si>
    <t>알람 미션, 수면 분석, 코골이 체크</t>
  </si>
  <si>
    <t>수면 사운드, 리마인더</t>
  </si>
  <si>
    <t>수면 분석을 제공하는 웰니스 앱, 인앱구매(광고 제거, 프리미엄 기능해제, 일부 고급 수면 분석/알람기능이용)</t>
  </si>
  <si>
    <t>기상 알람과 수면 관리 기능 중심이라 전문적인 수면 분석·치료 기능은 제한적. 알람·미션 기능이 일부 사용자에게 피로감을 줄 수 있음</t>
  </si>
  <si>
    <t>기본 무료(광고 포함), 프리미엄 구독 시 월 6,900원 / 연 58,000원 선(광고 제거 및 고급 미션·수면 분석 기능 무제한 이용, Google Play Pass 지원)</t>
  </si>
  <si>
    <t>에이슬립</t>
  </si>
  <si>
    <t>B2B파트너, 개인</t>
  </si>
  <si>
    <t>기기연동</t>
  </si>
  <si>
    <t>수면 단계 분석, 호흡음 분석, 수면 리포트</t>
  </si>
  <si>
    <t>API, SDK, 대시보드</t>
  </si>
  <si>
    <t>수면 AI/SDK/API를 제공하는 한국 슬립테크 서비스</t>
  </si>
  <si>
    <t>B2B 파트너 및 수면 측정 솔루션 중심으로 일반 소비자가 단독 이용하기 어려울 수 있음. API·SDK 또는 기기 연동 의존도가 높음</t>
  </si>
  <si>
    <t>B2B 전용 서비스로 초기 구축비는 없으며, 기업의 선택 기능(수면 단계·실시간 분석·코골이 등)과 실제 유효 수면 데이터 측정 건수에 따른 종량제 과금 방식임</t>
  </si>
  <si>
    <t>RESTDAWN</t>
  </si>
  <si>
    <t>불규칙수면자, 건강관심층</t>
  </si>
  <si>
    <t>수면 리포트, 루틴 관리, 기록</t>
  </si>
  <si>
    <t>맞춤 분석, 일상 패턴</t>
  </si>
  <si>
    <t>플레이스토어(애플 x), 수면을 데이터로 기록하고 이해하는 리포트 앱</t>
  </si>
  <si>
    <t>수면 리포트와 루틴 관리 중심으로, 생활습관 개선 이상의 의료적 진단·치료에는 한계. 앱 데이터와 사용자의 기록 지속성이 필요</t>
  </si>
  <si>
    <t>기본 무료(광고 포함), 프리미엄 구독 시 월 4,900원 / 연간 할인 제공(AI 수면 코칭, 정밀 패턴 분석 및 맞춤 루틴 무제한 이용, 7일 무료 체험 가능)</t>
  </si>
  <si>
    <t>수면 추적, 수면 단계, 코골이 감지</t>
  </si>
  <si>
    <t>코칭, 스트레스 관리</t>
  </si>
  <si>
    <t>Lock-in(락인)</t>
  </si>
  <si>
    <t>갤럭시 워치와 연동되는 대표 건강 플랫폼</t>
  </si>
  <si>
    <t>삼성 기기 및 웨어러블 생태계 의존도가 높음. 기기 없이 이용할 경우 수면 측정·분석 기능이 제한될 수 있음</t>
  </si>
  <si>
    <t>기본 앱 무료. 일부 기능은 삼성 웨어러블 등 별도 기기 필요</t>
  </si>
  <si>
    <t>더헬스(The Health)</t>
  </si>
  <si>
    <t>보험연계 건강관리대상자</t>
  </si>
  <si>
    <t>수면 측정, 호흡소리 분석, 기상시간 제안</t>
  </si>
  <si>
    <t>AI 패턴 분석, 건강플랫폼 연계</t>
  </si>
  <si>
    <t>건강플랫폼의 수면 측정 기능</t>
  </si>
  <si>
    <t>수면, 운동, 식단, 마음건강 등 다방면의 건강관리를 종합 제공하나 전문 헬스케어 서비스 대비 깊이가 아쉬울 수 있고 보험사 마케팅 및 이벤트 연계 요소가 포함됨</t>
  </si>
  <si>
    <t>솜니아</t>
  </si>
  <si>
    <t>피로회복희망자</t>
  </si>
  <si>
    <t>수면 콘텐츠, AI 수면코치, 루틴</t>
  </si>
  <si>
    <t>피로회복, 습관 분석</t>
  </si>
  <si>
    <t>과학적으로 설계된 수면 콘텐츠와 AI 코치를 제공</t>
  </si>
  <si>
    <t>수면 콘텐츠와 AI 수면 코칭 중심으로, 개인의 복합적인 수면장애나 정신건강 문제를 직접 치료하기 어려움</t>
  </si>
  <si>
    <t>기본 무료, 유료 구독있음.</t>
  </si>
  <si>
    <t>명상,ASMR선호자</t>
  </si>
  <si>
    <t>수면 명상, ASMR, 심리 가이드</t>
  </si>
  <si>
    <t>동화 음원, 스트레스 완화</t>
  </si>
  <si>
    <t>무료 콘텐츠 일부 존재, 전체 콘텐츠는 1개월/12개월 자동갱신 구독으로 이용(인앱구매 포함).</t>
  </si>
  <si>
    <t>1:1 밀착 코칭 없는 단방향 오디오 스트리밍 위주의 구성, 연속 재생 등 플레이어 편의 기능 제약 및 주요 콘텐츠의 정기 구독 필요</t>
  </si>
  <si>
    <t>기본 무료(일부 콘텐츠 제한), 1개월 이용권 월 5,900원 / 12개월 이용권 연 35,000원 (정기 자동 결제)</t>
  </si>
  <si>
    <t>슬립루틴</t>
  </si>
  <si>
    <t>수면분석,수면관리,스마트알람</t>
  </si>
  <si>
    <t>수면단계,호흡분석,백색소음,수면리포트,맞춤가이드</t>
  </si>
  <si>
    <t>스마트폰의 숨소리를 활용해 수면을 분석하고 수면 리포트, 스마트 알람, 백색소음과 맞춤형 수면 가이드를 제공하는 앱. 에이슬립에서 만든 어플.</t>
  </si>
  <si>
    <t>웨어러블 없이 스마트폰 마이크(숨소리) 기반으로 측정하여 외부 소음이나 다인 수면 시 오차가 생길 수 있고, 지속적인 측정 및 맞춤 가이드 이용에 유료 구독이 필요함</t>
  </si>
  <si>
    <t>기본 무료(일부 기능 체험 가능), 월간 결제 월 6,600원 / 연간 결제 연 39,900원~66,000원 정기 구독 제공</t>
  </si>
  <si>
    <t>수면분석 - 수면, 오토슬립, 코골이</t>
  </si>
  <si>
    <t>코골이기록희망자, 건강관심층</t>
  </si>
  <si>
    <t>수면 사이클, 코골이 녹음, 편안한 사운드</t>
  </si>
  <si>
    <t>스마트 알람, 리포트</t>
  </si>
  <si>
    <t>스마트폰 마이크 및 센서 측정 방식 특성상 외부 소음(에어컨·주변음 등) 간섭 시 오차가 발생할 수 있으며, 무료 버전은 광고 노출과 일부 기능 제한이 존재함</t>
  </si>
  <si>
    <t>기본 무료(광고 포함), 프리미엄 기능 무제한 이용을 위한 유료 구독 제공(월 약 6,600원 / 연 약 26,000원~55,000원, 7일 무료 체험 제공)</t>
  </si>
  <si>
    <t>AutoSleep</t>
  </si>
  <si>
    <t>호주</t>
  </si>
  <si>
    <t>애플워치 사용자</t>
  </si>
  <si>
    <t>수면단계분석,심박수/SpO2측정,애플워치연동</t>
  </si>
  <si>
    <t>₩9,900 1회 결제(평생, 구독 없음),건강·피트니스 유료앱 차트 #2, 6.5천개 평점 4.4, 2018~2025 8년 연속 Apple "올해의 앱" 선정</t>
  </si>
  <si>
    <t>Apple Watch 및 iPhone 생태계 의존도가 높아 비애플 사용자 접근성이 낮음. 초기 설정과 기기 착용이 필요함</t>
  </si>
  <si>
    <t>₩9,900 1회 결제, 평생 이용 방식</t>
  </si>
  <si>
    <t>달램</t>
  </si>
  <si>
    <t>직장인, 스트레스관심층</t>
  </si>
  <si>
    <t>멘탈헬스, 명상. 수면</t>
  </si>
  <si>
    <t>기업복지, 코칭</t>
  </si>
  <si>
    <t>B2B 구독형</t>
  </si>
  <si>
    <t>직장인·기업 복지 및 코칭 중심으로 개인 사용자가 독립적으로 접근하기 어려울 수 있음. 상담·코칭 품질이 운영 인력에 영향을 받음</t>
  </si>
  <si>
    <t>B2B 구독형. 기업별 계약 가격</t>
  </si>
  <si>
    <t>슬립머니(SleepMoney)</t>
  </si>
  <si>
    <t>앱테크관심층</t>
  </si>
  <si>
    <t>수면기록,리워드적립</t>
  </si>
  <si>
    <t>광고시청</t>
  </si>
  <si>
    <t>Sleep-to-Earn, 광고 기반 리워드</t>
  </si>
  <si>
    <t>수면 시간 및 취침 중 스마트폰 방치에 따른 포인트 적립(앱테크) 위주라 전문적인 수면 분석 및 불면 치료 기능은 부족함</t>
  </si>
  <si>
    <t>기본 무료 (앱 이용 및 수면 포인트 적립 무료, 광고 기반)</t>
  </si>
  <si>
    <t>슬립큐브</t>
  </si>
  <si>
    <t>오프라인결합</t>
  </si>
  <si>
    <t>수면컨설팅,매트리스</t>
  </si>
  <si>
    <t>슬립케어멤버십</t>
  </si>
  <si>
    <t>매트리스 브랜드+수면 컨설팅, 앱 연동</t>
  </si>
  <si>
    <t>수면 온도 조절 전용 하드웨어 매트리스/컨트롤러 구매가 필수적인 고가 장비로 초기 구매 비용 부담이 큼</t>
  </si>
  <si>
    <t>기기 및 매트 세트 구매비 약 1,800,000원 ~ 2,100,000원 (별도 앱 정기 구독료 없음)</t>
  </si>
  <si>
    <t>Bearable</t>
  </si>
  <si>
    <t>영국</t>
  </si>
  <si>
    <t>만성증상관리자</t>
  </si>
  <si>
    <t>수면,기분,증상기록</t>
  </si>
  <si>
    <t>상관관계분석</t>
  </si>
  <si>
    <t>기본무료+프리미엄</t>
  </si>
  <si>
    <t>기본 무료(기본 트래킹), 상세 데이터 상관관계 분석 등 유료 구독 제공 (월 약 $4.99 / 연 약 $18.99~$29.99)</t>
  </si>
  <si>
    <t>Loona</t>
  </si>
  <si>
    <t>이완희망자, 불면증환자</t>
  </si>
  <si>
    <t>인터랙티브수면스토리</t>
  </si>
  <si>
    <t>스트레스완화</t>
  </si>
  <si>
    <t>구독형 콘텐츠 앱</t>
  </si>
  <si>
    <t>수면 유도용 인터랙티브 콘텐츠 중심으로, 콘텐츠 선호도에 따라 효과 차이가 큼. 장기적인 수면장애 치료 도구로 사용하기에는 한계</t>
  </si>
  <si>
    <t>기본 무료(일부 체험 콘텐츠), 프리미엄 이용을 위한 유료 구독 제공 (월 약 14,000원 / 연 약 33,000원~49,000원)</t>
  </si>
  <si>
    <t>SleepisolBio</t>
  </si>
  <si>
    <t>불면/기상곤란/스트레스관심층</t>
  </si>
  <si>
    <t>AI수면분석, 코골이 감지, 브레인웨이브사운드테라피(바이노럴비트)</t>
  </si>
  <si>
    <t>스마트알람,기상미션, 40종 수면유도 미니게임, AI 맞춤명상/베드타임스토리</t>
  </si>
  <si>
    <t>100만 + 다운로드, 평점 3.1-3.2로 낮음</t>
  </si>
  <si>
    <t>미세전류 뇌자극(CES) 기술 기반 전용 헤드밴드 하드웨어 기기를 반드시 별도 구매·착용해야 앱 기능을 활용할 수 있음</t>
  </si>
  <si>
    <t>전용 기기(슬리피솔/슬리피솔 플러스) 구매비 약 198,000원 ~ 259,000원 (연동 앱 이용료 무료)</t>
  </si>
  <si>
    <t>파사(PASA)</t>
  </si>
  <si>
    <t>코골이기록희망자, 수면개선희망자</t>
  </si>
  <si>
    <t>코골이 녹음, 수면 리포트, 백색소음</t>
  </si>
  <si>
    <t>알람, 명상</t>
  </si>
  <si>
    <t>앱 구독 + 코골이 솔루션/구강장치 연계상품 존재. 구독형만으로 보기보다 추가 상품 판매가 결합된 Add-on 구조</t>
  </si>
  <si>
    <t>마이크 기반 측정 특성상 주변 소음 간섭 가능성이 있으며 심한 코골이는 연계 치과 구강내장치 치료 안내로 유도됨</t>
  </si>
  <si>
    <t>기본 무료 (앱 내 코골이 녹음·분석, 수면 리포트, 백색소음 등 기본 기능 전액 무료 제공)</t>
  </si>
  <si>
    <t>Headspace</t>
  </si>
  <si>
    <t>슬립캐스트,수면라디오</t>
  </si>
  <si>
    <t>명상컨텐츠</t>
  </si>
  <si>
    <t>월$12.99, 연$69.99</t>
  </si>
  <si>
    <t>한국어 전용 콘텐츠 비중이 적고 수면 오디오 중심이라 스마트폰 센서/웨어러블 기반의 수면 측정 기능은 없음</t>
  </si>
  <si>
    <t>기본무료,월 $12.99, 연 $69.99</t>
  </si>
  <si>
    <t>Sleep Tracker</t>
  </si>
  <si>
    <t>홍콩/영국</t>
  </si>
  <si>
    <t>불면증환자, 건강관심층</t>
  </si>
  <si>
    <t>수면주기분석, 코골이/잠꼬대 녹음, 수면점수</t>
  </si>
  <si>
    <t>스마트알람, 백색소음/명상사운드, Apple Health 연동</t>
  </si>
  <si>
    <t>무료+인앱구독. 2.2천 리뷰 평점 4.7로 완성도 높은 편. 동일 개발사가 운동·다이어트 앱도 다수 운영(포트폴리오형 헬스앱 퍼블리셔). "무료여도 유료 못지않게 정확하다"는 리뷰 다수</t>
  </si>
  <si>
    <t>스마트폰 기반 수면 기록은 실제 수면 단계 측정에 한계가 있음. 무료 버전은 광고·기능 제한이 있고, 고급 분석에는 구독이 필요할 수 있음</t>
  </si>
  <si>
    <t>기본 무료(광고 포함), 프리미엄 기능 무제한 이용을 위한 유료 구독 제공 (월 약 6,600원 / 연 약 26,000원~55,000원)</t>
  </si>
  <si>
    <t>스트레스관심층</t>
  </si>
  <si>
    <t>상담, 심리 콘텐츠, 이완</t>
  </si>
  <si>
    <t>수면 코칭, 감정 기록</t>
  </si>
  <si>
    <t>심리상담 플랫폼이지만 수면·이완 관련 웰니스 활용이 가능</t>
  </si>
  <si>
    <t>심리상담 플랫폼 중심이라 수면 문제를 직접 측정·분석하는 기능은 제한적. 상담 비용과 상담사별 품질·가용성 차이가 존재</t>
  </si>
  <si>
    <t>기본 무료(앱 이용 및 무료 심리검사·ASMR), 전문 1:1 심리상담·코칭 이용 시 회당 약 3만~7만 원대 결제</t>
  </si>
  <si>
    <t>마인드브릿지</t>
  </si>
  <si>
    <t>이완희망자</t>
  </si>
  <si>
    <t>명상, 호흡, 이완</t>
  </si>
  <si>
    <t>루틴, 집중/수면 전환</t>
  </si>
  <si>
    <t>수면/명상 성격 서비스</t>
  </si>
  <si>
    <t>명상·호흡·이완 콘텐츠 중심으로, 수면장애에 대한 의료적 진단·치료 기능은 제한적. 콘텐츠 이용 효과가 개인별로 다를 수 있음</t>
  </si>
  <si>
    <t>B2B 전용 서비스로 제휴 기업 임직원은 무료 이용(기업 비용 부담), 개인 별도 이용 시 상담 비용 발생</t>
  </si>
  <si>
    <t>티끌</t>
  </si>
  <si>
    <t>명상, 수면, 유도, 루틴</t>
  </si>
  <si>
    <t>짧은 호흡, 취침가이드</t>
  </si>
  <si>
    <t xml:space="preserve"> 수면/이완 성격 서비스</t>
  </si>
  <si>
    <t>명상·수면·이완 콘텐츠 중심으로, 지속적인 이용과 습관 형성이 필요. 전문 수면검사나 의료 상담을 대체하기 어려움</t>
  </si>
  <si>
    <t>기본 무료(일부 기능 체험), 무제한 앱 차단 및 프로 기능 유료 결제 제공 (월 약 3,300원 / 연 약 22,000원 또는 평생 이용권)</t>
  </si>
  <si>
    <t>다노(DAN0)</t>
  </si>
  <si>
    <t>다이어터</t>
  </si>
  <si>
    <t>다이어트콘텐츠,레시피</t>
  </si>
  <si>
    <t>커뮤니티, 자기관리아이템</t>
  </si>
  <si>
    <t>콘텐츠 앱은 무료, 식단 쇼핑몰,유료 코칭으로 수익 연계 되는 구조</t>
  </si>
  <si>
    <t>코칭 상품가가 높고 정해진 개강일 대기 등 접근성 제약, 앱보다 식품 쇼핑몰·코칭 판매 중심 구조</t>
  </si>
  <si>
    <t>다노앱 기본 무료. 온라인 PT '다노핏코치' 정가 월 72,000원(주3회 코칭·4주 기준)습관성형 클럽' 멤버십(다노샵): 베이직 89,000원, 코칭 멤버십 330,000원.</t>
  </si>
  <si>
    <t>다티(나만의 영양사)</t>
  </si>
  <si>
    <t>만성질환자, 다이어터</t>
  </si>
  <si>
    <t>영양상담, 매칭</t>
  </si>
  <si>
    <t>1:1 상담, 온라인교육콘텐츠</t>
  </si>
  <si>
    <t>전문 영양사와 사용자를 매칭해 1:1 상담제공, 당뇨/혈당 등 질환별 콘텐츠 보유</t>
  </si>
  <si>
    <t>앱이 아니라 영양사 온라인 강의+1:1 상담 e커머스(프로그램 구매형)라 셀프서비스 구독이 없고 확장성 낮음</t>
  </si>
  <si>
    <t>프로그램/상담 건별 판매 구조. 원/연 구독제 아님</t>
  </si>
  <si>
    <t>인아웃(InOut)</t>
  </si>
  <si>
    <t>다이어터, 20대 여성</t>
  </si>
  <si>
    <t>식단기록,체중기록</t>
  </si>
  <si>
    <t>커뮤니티, 챌린지, 꾸미기아이템</t>
  </si>
  <si>
    <t>식단 운동 체중을 사진/피드로 기록하고 공유, 포인트로 꾸미기 아이템 구매,익명 게시판 운영</t>
  </si>
  <si>
    <t>게임·커뮤니티 중심으로 재미 요소는 강하나 전문 코칭 깊이는 얕음, 광고 기반 무료 구조</t>
  </si>
  <si>
    <t>무료 + 앱 내 구입. 프리미엄 구독-월간 구독 (일반): 14,900원 / 월월간 구독 (스타터): 9,900원 / 월</t>
  </si>
  <si>
    <t>필라이즈(Pilyze)</t>
  </si>
  <si>
    <t>당뇨전단계, 다이어터</t>
  </si>
  <si>
    <t>혈당관리, AI코칭</t>
  </si>
  <si>
    <t>무채혈CGM연동, 영양제 분석</t>
  </si>
  <si>
    <t>연속혈당측정기 연동 + AI 혈당 멤버십 구조. 센서 기기와 구독형 관리 결합</t>
  </si>
  <si>
    <t>무제한 AI 코칭. 실제 결제·영양제 구매가 외부 사이트로 이탈, 운동 연동(기기) 정밀도 아쉬움</t>
  </si>
  <si>
    <t>앱 기본 무료. '필라이즈 플러스' 정가 월 15,900원. CGM 혈당 멤버십 '슈가케어' 월 319,000원→할인가 월 210,000원. 1:1 전문가 코칭 '포미 다이어트' 월 약 241,667원</t>
  </si>
  <si>
    <t>닥터나우</t>
  </si>
  <si>
    <t>비만치료희망자, 전연령</t>
  </si>
  <si>
    <t>앱단독(원격의료)</t>
  </si>
  <si>
    <t>비대면지료, 다이어트약처방</t>
  </si>
  <si>
    <t>건강매거진, 약배송, 병원예약</t>
  </si>
  <si>
    <t>의사-환자 비대면 진료 매칭 후 다이어트 약 처방, 배송 및 건강정보 콘텐츠 병행</t>
  </si>
  <si>
    <t>2024년 12월 다이어트 주사제 비대면 처방 금지 이후 처방 기능이 막혀 '가격비교·병원예약' 중심으로 전환, 약값·진료비는 병원/약국별 편차 큼</t>
  </si>
  <si>
    <t>앱 무료.</t>
  </si>
  <si>
    <t>키니케어</t>
  </si>
  <si>
    <t>암환자</t>
  </si>
  <si>
    <t>앱단독(병원연계)</t>
  </si>
  <si>
    <t>식단기록,영양분석</t>
  </si>
  <si>
    <t>질환별관리,병원연계교육콘텐츠</t>
  </si>
  <si>
    <t>병원 영양팀과 연계된 암환자 전용 영양 관리 앱. 원재료 분석시스템(K-FIAS) 기반</t>
  </si>
  <si>
    <t>비대면진료 앱이 아니라 강남세브란스 협력 '암환자 영양관리' 특화 앱으로, 범용 다이어트/체중감량 용도가 아님</t>
  </si>
  <si>
    <t>앱 무료. 수익은 앱 내 영양 식품 판매 및 병원 B2B 솔루션. 소비자 구독 티어 없음</t>
  </si>
  <si>
    <t>밀리그램(Mealgram)</t>
  </si>
  <si>
    <t>식단관리자,20~30대</t>
  </si>
  <si>
    <t>AI식단인식, 영양분석</t>
  </si>
  <si>
    <t>칼로리계산, 사진기록</t>
  </si>
  <si>
    <t>식단 사진 촬영 시 AI가 음식을 인식해 영양성분 및 칼로리 정보 제공</t>
  </si>
  <si>
    <t>기록 기능 중심으로 차별화된 코칭·수익모델 약함</t>
  </si>
  <si>
    <t>앱 기본 무료(기록·계획·공유). 유료 구독-개월 이용권: ₩9,9006개월 이용권: ₩29,0001년 이용권: ₩19,800평생 요금제: ₩38,900</t>
  </si>
  <si>
    <t>파스타(Pasta)</t>
  </si>
  <si>
    <t>당뇨환자, 식단관리</t>
  </si>
  <si>
    <t>혈당관리, 체중관리</t>
  </si>
  <si>
    <t>비전AI식사기록, 병원연계리포트</t>
  </si>
  <si>
    <t>CGM 센서와 연동하여 실시간 혈당 수치 및 식단 가이드 제공, 혈압,비만관리로 생태계 확장</t>
  </si>
  <si>
    <t>핵심 기능이 연속혈당측정기(CGM) 센서 착용 전제라 센서 미보유 시 기능 제한, 앱 자체는 의료기기 아님</t>
  </si>
  <si>
    <t>앱 자체는 무료. 전 기능 사용에 별도 CGM 센서 구매 필요</t>
  </si>
  <si>
    <t>밸런스프렌즈</t>
  </si>
  <si>
    <t>다이어터, 여성, 10~30대</t>
  </si>
  <si>
    <t>챗봇코칭, 식단피드백</t>
  </si>
  <si>
    <t>애플헬스연동, 커뮤니티, 커머스</t>
  </si>
  <si>
    <t>다양한 캐릭터 챗봇이 심리적 응원/질책까지 제공하는 것이 차별점. 열정팩토리 운</t>
  </si>
  <si>
    <t>챗봇 캐릭터 코칭이 핵심이나 정밀 의료·전문 코칭 아님, 명확한 유료화 모델 약함</t>
  </si>
  <si>
    <t>무료.필수 결제없음.</t>
  </si>
  <si>
    <t>눔(Noom)</t>
  </si>
  <si>
    <t>다이어터, 20~40대</t>
  </si>
  <si>
    <t>식단기록, 체중관리</t>
  </si>
  <si>
    <t>커뮤니티, 코칭</t>
  </si>
  <si>
    <t>코스형 구독, 설문기반 1:1 코칭 배정, 행동심리학 기반 코칭 중심</t>
  </si>
  <si>
    <t>월단위 환산 시 고가이며 선결제·자동갱신 구조, 한국 현지 가격 정책 불명확</t>
  </si>
  <si>
    <t>월간 약 $70/월, 4개월 플랜 $169(월 약 $42.25), 연간 플랜 $209(월 환산 약 $17.42, 최저 월단가).</t>
  </si>
  <si>
    <t>MyFitnessPal</t>
  </si>
  <si>
    <t>다이어터, 전연령</t>
  </si>
  <si>
    <t>칼로리기록, 바코드스캔</t>
  </si>
  <si>
    <t>방대한 음식 DB, 매크로 추적</t>
  </si>
  <si>
    <t>무료로 수동 식품 기록 가능,고급 분석 및 광고제거 등은 유료 구독,  AI 코칭 기능은 약함</t>
  </si>
  <si>
    <t>바코드 스캔 등 핵심 기능이 유료로 이동, 지역별 가격 편차, 무료 DB 정확도 논란</t>
  </si>
  <si>
    <t>Free($0) / Premium $19.99/월 또는 $79.99/년 / Premium+ $24.99/월 또는 $99.99/년</t>
  </si>
  <si>
    <t>심박수, 걸음수, 수면</t>
  </si>
  <si>
    <t>삼성 갤럭시 워치/폰 생태계에 통합, 타사 기기로 전환 시 데이터 이력 이전이 어려운 락인 구조</t>
  </si>
  <si>
    <t>삼성 기기 생태계 종속적이며 전문 코칭·개인화 깊이는 제한적</t>
  </si>
  <si>
    <t>무료</t>
  </si>
  <si>
    <t>손목닥터9988</t>
  </si>
  <si>
    <t>서울시민, 전연령</t>
  </si>
  <si>
    <t>앱단독+웨어러블 연동</t>
  </si>
  <si>
    <t>걸음수, 건강포인트</t>
  </si>
  <si>
    <t>AI트레이너(버추얼메이트), 보험연계혜택</t>
  </si>
  <si>
    <t>서울시 공공 헬스케어앱, 걸음수 등 건강데이터를 정책,보험료 할인 등에 활용하는 슈퍼앱 구조</t>
  </si>
  <si>
    <t>서울시민·특정 기기 연동 대상 한정 공공사업이라 범용성 낮고 포인트 정책 축소 논란</t>
  </si>
  <si>
    <t xml:space="preserve">무료. </t>
  </si>
  <si>
    <t>운동닥터</t>
  </si>
  <si>
    <t>PT희망자, 전연령</t>
  </si>
  <si>
    <t>트레이너매칭, 가격비교</t>
  </si>
  <si>
    <t>자격/프로그램/리뷰, 체험예약</t>
  </si>
  <si>
    <t>동네 헬스장 및 트레이너 정보를 비교하여 매칭, 최저가 보장, 1회 체험 예약 기능 제공. 트레이너용 회원관리 SaaS 제공.</t>
  </si>
  <si>
    <t>오프라인 PT 중개(정보 비대칭 해소)에 그쳐 자체 콘텐츠·리텐션 약함, 거래는 트레이너 의존</t>
  </si>
  <si>
    <t>앱 무료. 1회 체험 레슨 무료</t>
  </si>
  <si>
    <t>번핏(BurnFit)</t>
  </si>
  <si>
    <t>헬스이용자, 웨이트트레이닝</t>
  </si>
  <si>
    <t>앱단독+웨어러블연동</t>
  </si>
  <si>
    <t>운동기록, 루틴관리 ,1RM 계산</t>
  </si>
  <si>
    <t>애플워치연동, 바벨서포터, 상세성장리포트, 식단관리</t>
  </si>
  <si>
    <t xml:space="preserve">운영사: Bunnit. Forbes Health 'Best Fitness App' 5년 연속 선정, 글로벌 누적 사용자 200만+, AI 사진 인식 식단 탄단지 분석, 슈퍼 세트, 드랍 세트 설정 및 애플워치 실시간 연동, 상세 성장 리포트 &amp; 1RM 분석 그래프 </t>
  </si>
  <si>
    <t>무료 버전은 루틴 2개 등으로 기능 제한, 코칭이 아닌 기록·분석 중심이라 실행 강제력 없음</t>
  </si>
  <si>
    <t>기본 기록 무료/ pro 구독료: 월 약 $4.99 / 연 약 $29.99</t>
  </si>
  <si>
    <t>Strava</t>
  </si>
  <si>
    <t>러너, 사이클리스트</t>
  </si>
  <si>
    <t xml:space="preserve">웨어러블연동 </t>
  </si>
  <si>
    <t>GPS기록, 루트분석</t>
  </si>
  <si>
    <t>세그먼트, 커뮤니티, 챌린지</t>
  </si>
  <si>
    <t>무료로  GPS 활동 기록 가능, 세그먼트 순위, 고급 분석 등은 유료 구독</t>
  </si>
  <si>
    <t>무료 기능 축소로 핵심 분석이 유료화, 국가별 가격 편차 큼</t>
  </si>
  <si>
    <t>무료 티어 + 구독 월 $11.99 또는 연 $79.99, 가족 플랜 연 $139.99</t>
  </si>
  <si>
    <t>콰드(QUAT)</t>
  </si>
  <si>
    <t xml:space="preserve"> 한국</t>
  </si>
  <si>
    <t>홈트족, 다이어터</t>
  </si>
  <si>
    <t>홈트영상콘텐츠, 다이어트식단</t>
  </si>
  <si>
    <t>포인트리워드, 콰트몰(간식/영양제)</t>
  </si>
  <si>
    <t>필라테스,유산소,요가,자세교정 등 다양한 홈트 콘텐츠 무료 제공. 운동 포인트로 성취감 부여. 스마트체중계 연동</t>
  </si>
  <si>
    <t>영상 스트리밍 홈트 구독으로 실시간 1:1 코칭·개인화는 제한, 기구 판매 연계 의존</t>
  </si>
  <si>
    <t>정가 월 23,100원, 제휴 할인(피클플러스 등) 시 월 13,700원 수준(약 41% 할인)</t>
  </si>
  <si>
    <t>플랜핏(Planfit)</t>
  </si>
  <si>
    <t>PT희망자, 헬스초보자</t>
  </si>
  <si>
    <t>AI운동루틴, 영상코칭</t>
  </si>
  <si>
    <t>전국헬스장기구DB, 커뮤니티</t>
  </si>
  <si>
    <t xml:space="preserve">"PT 없이도 PT 수준" 표방. 전국 헬스장 기구 데이터 기반 맞춤 루틴을 AI가 즉시 생성. 무료 시작 후 구독으로 전환 </t>
  </si>
  <si>
    <t>초보자 루틴 자동화 강점이나 중급 이상 심화·대면 코칭 부재, 유료 전환 유인 약함</t>
  </si>
  <si>
    <t>기본 무료(무제한 루틴 추천·기록). 월간 구독: 약 11,900원 / 월연간 구독 (정가): 약 64,900 ~ 69,900원</t>
  </si>
  <si>
    <t>액서사이트 케어(아이픽셀)</t>
  </si>
  <si>
    <t>근골격계질환자, 수술후재활환자</t>
  </si>
  <si>
    <t>앱단독+병원연계(스마트TV포함)</t>
  </si>
  <si>
    <t>AI운동분석, 의사처방연계</t>
  </si>
  <si>
    <t>병원리포트, 글로벌 보급(LG스마트TV)</t>
  </si>
  <si>
    <t>의사가 처방한 재활운동을 AI가 관절 움직임,정확도를 실시간 분석,피드백. 강남 세브란스 등 주요 병원 도입. LG 스마트 TV 탑재로 해외 15만명 사용. 유사 경쟁사로 링닥(Ringdoc) 존재</t>
  </si>
  <si>
    <t>병원 처방 기반 B2B(SaaS/API)로 현재 소비자 직접 과금 없음, 유료화는 인허가·임상 후로 예정</t>
  </si>
  <si>
    <t>현재 병원 내 사용은 무료 단계(인허가 전). 인허가 후 월 구독제·기업 임직원 건강관리 시장 확대 계획.</t>
  </si>
  <si>
    <t>눈운동:VisionUp</t>
  </si>
  <si>
    <t>안구피로, 시력관리관심층</t>
  </si>
  <si>
    <t>눈운동루틴, 콘텐츠</t>
  </si>
  <si>
    <t>습관관리, 교육콘텐츠</t>
  </si>
  <si>
    <t>눈 피로 완화, 시력 관리를 위한 루틴형 개입 콘텐츠 제공. 기본 무료+프리미엄 확장 추정</t>
  </si>
  <si>
    <t>안구운동이라는 협소한 니치, 광고형 무료 후 유료 전환 구조</t>
  </si>
  <si>
    <t>무료.월간(1.99~2.99달러) ,연간 (12.99 ~ 17.99 달러)</t>
  </si>
  <si>
    <t>야핏</t>
  </si>
  <si>
    <t>홈트족, 전연령</t>
  </si>
  <si>
    <t>웨어러블연동(스마트사이클)</t>
  </si>
  <si>
    <t>홈트콘텐츠, M2E마일리지</t>
  </si>
  <si>
    <t>스마트사이클, 걷기/라이딩리워드</t>
  </si>
  <si>
    <t>야나두의 피트니스 확장. 스마트 사이클(야핏 사이클) 콘텐츠 구독+별도 M2E 리워드 앱 '야핏무브 운영'</t>
  </si>
  <si>
    <t>하드웨어(실내 사이클) 구매 전제의 리워드 모델이라 초기 진입비용 높음, 마일리지 환급 조건 복잡</t>
  </si>
  <si>
    <t>무료 마일리지 리워드. 멤버십 이용권-24개월 약정: 월 21,900원,12개월 약정: 월 33,900원 ,3개월 약정: 월 39,900원</t>
  </si>
  <si>
    <t>홈 트레이닝(Leap Fitness)</t>
  </si>
  <si>
    <t>홈트족, 운동초보자</t>
  </si>
  <si>
    <t>운동영상, 루텐제공</t>
  </si>
  <si>
    <t>무기구운동, 챌린지</t>
  </si>
  <si>
    <t>기본 트레이닝 플랜/영상 무료 제공. 광고 시청으로 추가 프로그램 이용. 프리미엄 결제 시 광고 제거</t>
  </si>
  <si>
    <t>사전 제작 맨몸운동 루틴으로 개인화·실시간 코칭 없음, 광고형 무료</t>
  </si>
  <si>
    <t>무료. 프리미엄- 월간 9.99달러, 연간 39.99달</t>
  </si>
  <si>
    <t>온오프(onoff)</t>
  </si>
  <si>
    <t>다이어터, PT희망자, 전연령</t>
  </si>
  <si>
    <t>웹서비스(비대면코칭)</t>
  </si>
  <si>
    <t>온라인PT, 1:1코칭, 식단관리</t>
  </si>
  <si>
    <t>체형분석, 무료체험,트레이닝룸영상, 단체 라이브PT</t>
  </si>
  <si>
    <t>전담 트레이너 배정형 비대면 PT. 단체 라이브 PT(실시간 화상), 트레이닝룸(부위별 영상 라이브러리) 병행 운영.</t>
  </si>
  <si>
    <t>비대면 특성상 실시간 동작 교정 즉시성이 오프라인 PT 대비 제한적</t>
  </si>
  <si>
    <t>주3회라이브-150,000원, 1개월 종일관리-210,000원, 3개월 종일관리(월163,333원),6개월 종일관리(월148,333원)</t>
  </si>
  <si>
    <t>CP101</t>
  </si>
  <si>
    <t>스노어랩</t>
  </si>
  <si>
    <t>코골이녹음,수면분석,코골이관리</t>
  </si>
  <si>
    <t>코골이점수,소리기록,수면추이,코골이개선</t>
  </si>
  <si>
    <t>코골이 소리를 녹음하고 강도와 발생 패턴을 분석해 코골이 개선 방법을 추적하는 수면관리 앱</t>
  </si>
  <si>
    <t>코골이 분석 결과가 수면무호흡증 등 질환의 의학적 진단을 대체할 수 없으며, 스마트폰 위치와 마이크 환경에 따라 측정 정확도가 달라질 수 있음</t>
  </si>
  <si>
    <t>기본 기능 무료 또는 제한적 녹음 제공; 프리미엄 구독 시 전체 밤 녹음·정밀 분석 이용 가능, 월 약 3.99달러, 연 약 39.99달러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</si>
</sst>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yyyy\-mm\-dd"/>
  </numFmts>
  <fonts count="15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4.0"/>
      <color theme="1"/>
      <name val="Arial"/>
    </font>
    <font>
      <sz val="10.0"/>
      <color theme="1"/>
      <name val="Noto Sans"/>
    </font>
    <font>
      <b/>
      <sz val="12.0"/>
      <color theme="1"/>
      <name val="Arial"/>
    </font>
    <font>
      <sz val="10.0"/>
      <color theme="1"/>
      <name val="Arial"/>
    </font>
    <font>
      <i/>
      <sz val="11.0"/>
      <color rgb="FF7F7F7F"/>
      <name val="Arial"/>
    </font>
    <font>
      <sz val="11.0"/>
      <color rgb="FF000000"/>
      <name val="Arial"/>
    </font>
    <font>
      <i/>
      <sz val="11.0"/>
      <color rgb="FF7F7F7F"/>
      <name val="Noto Sans"/>
    </font>
    <font>
      <sz val="9.0"/>
      <color rgb="FF808080"/>
      <name val="Noto Sans"/>
    </font>
    <font>
      <sz val="11.0"/>
      <color theme="1"/>
      <name val="Calibri"/>
    </font>
    <font>
      <sz val="11.0"/>
      <color rgb="FF000000"/>
      <name val="&quot;Noto Sans CJK SC&quot;"/>
    </font>
    <font>
      <sz val="11.0"/>
      <color rgb="FF000000"/>
      <name val="Calibri"/>
    </font>
    <font>
      <sz val="11.0"/>
      <color rgb="FF000000"/>
      <name val="&quot;맑은 고딕&quot;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305496"/>
        <bgColor rgb="FF305496"/>
      </patternFill>
    </fill>
    <fill>
      <patternFill patternType="solid">
        <fgColor rgb="FFE7E6E6"/>
        <bgColor rgb="FFE7E6E6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0" fillId="0" fontId="5" numFmtId="0" xfId="0" applyAlignment="1" applyFont="1">
      <alignment shrinkToFit="0" vertical="top" wrapText="1"/>
    </xf>
    <xf borderId="1" fillId="2" fontId="1" numFmtId="0" xfId="0" applyAlignment="1" applyBorder="1" applyFont="1">
      <alignment horizontal="center" readingOrder="0" shrinkToFit="0" vertical="center" wrapText="1"/>
    </xf>
    <xf borderId="1" fillId="3" fontId="6" numFmtId="0" xfId="0" applyAlignment="1" applyBorder="1" applyFill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3" fontId="8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 shrinkToFit="0" vertical="top" wrapText="1"/>
    </xf>
    <xf borderId="0" fillId="0" fontId="9" numFmtId="0" xfId="0" applyAlignment="1" applyFont="1">
      <alignment shrinkToFit="0" vertical="bottom" wrapText="0"/>
    </xf>
    <xf borderId="1" fillId="4" fontId="10" numFmtId="0" xfId="0" applyAlignment="1" applyBorder="1" applyFill="1" applyFont="1">
      <alignment readingOrder="0" shrinkToFit="0" vertical="bottom" wrapText="0"/>
    </xf>
    <xf borderId="1" fillId="4" fontId="10" numFmtId="0" xfId="0" applyAlignment="1" applyBorder="1" applyFont="1">
      <alignment shrinkToFit="0" vertical="bottom" wrapText="0"/>
    </xf>
    <xf borderId="1" fillId="4" fontId="10" numFmtId="164" xfId="0" applyAlignment="1" applyBorder="1" applyFont="1" applyNumberFormat="1">
      <alignment readingOrder="0" shrinkToFit="0" vertical="bottom" wrapText="0"/>
    </xf>
    <xf borderId="1" fillId="0" fontId="7" numFmtId="165" xfId="0" applyAlignment="1" applyBorder="1" applyFont="1" applyNumberFormat="1">
      <alignment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12" numFmtId="0" xfId="0" applyAlignment="1" applyFont="1">
      <alignment readingOrder="0" shrinkToFit="0" vertical="bottom" wrapText="0"/>
    </xf>
    <xf borderId="1" fillId="4" fontId="11" numFmtId="0" xfId="0" applyAlignment="1" applyBorder="1" applyFont="1">
      <alignment readingOrder="0" shrinkToFit="0" vertical="bottom" wrapText="0"/>
    </xf>
    <xf borderId="1" fillId="4" fontId="12" numFmtId="0" xfId="0" applyAlignment="1" applyBorder="1" applyFont="1">
      <alignment readingOrder="0" shrinkToFit="0" vertical="bottom" wrapText="0"/>
    </xf>
    <xf borderId="1" fillId="4" fontId="12" numFmtId="164" xfId="0" applyAlignment="1" applyBorder="1" applyFont="1" applyNumberFormat="1">
      <alignment readingOrder="0" shrinkToFit="0" vertical="bottom" wrapText="0"/>
    </xf>
    <xf borderId="1" fillId="4" fontId="13" numFmtId="0" xfId="0" applyAlignment="1" applyBorder="1" applyFont="1">
      <alignment readingOrder="0" shrinkToFit="0" vertical="bottom" wrapText="0"/>
    </xf>
    <xf borderId="1" fillId="4" fontId="7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1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2" t="s">
        <v>1</v>
      </c>
    </row>
    <row r="2">
      <c r="A2" s="3" t="s">
        <v>9</v>
      </c>
    </row>
    <row r="3">
      <c r="A3" s="3"/>
    </row>
    <row r="4">
      <c r="A4" s="4" t="s">
        <v>17</v>
      </c>
    </row>
    <row r="5">
      <c r="A5" s="5" t="s">
        <v>20</v>
      </c>
    </row>
    <row r="6">
      <c r="A6" s="5" t="s">
        <v>23</v>
      </c>
    </row>
    <row r="7">
      <c r="A7" s="5" t="s">
        <v>26</v>
      </c>
    </row>
    <row r="8">
      <c r="A8" s="5" t="s">
        <v>28</v>
      </c>
    </row>
    <row r="9">
      <c r="A9" s="3"/>
    </row>
    <row r="10">
      <c r="A10" s="4" t="s">
        <v>30</v>
      </c>
    </row>
    <row r="11">
      <c r="A11" s="5" t="s">
        <v>31</v>
      </c>
    </row>
    <row r="12">
      <c r="A12" s="5" t="s">
        <v>33</v>
      </c>
    </row>
    <row r="13">
      <c r="A13" s="5" t="s">
        <v>35</v>
      </c>
    </row>
    <row r="14">
      <c r="A14" s="3"/>
    </row>
    <row r="15">
      <c r="A15" s="4" t="s">
        <v>36</v>
      </c>
    </row>
    <row r="16">
      <c r="A16" s="5" t="s">
        <v>38</v>
      </c>
    </row>
    <row r="17">
      <c r="A17" s="5" t="s">
        <v>39</v>
      </c>
    </row>
    <row r="18">
      <c r="A18" s="5" t="s">
        <v>40</v>
      </c>
    </row>
    <row r="19">
      <c r="A19" s="3"/>
    </row>
    <row r="20">
      <c r="A20" s="4" t="s">
        <v>41</v>
      </c>
    </row>
    <row r="21" ht="15.75" customHeight="1">
      <c r="A21" s="5" t="s">
        <v>43</v>
      </c>
    </row>
    <row r="22" ht="15.75" customHeight="1">
      <c r="A22" s="5" t="s">
        <v>45</v>
      </c>
    </row>
    <row r="23" ht="15.75" customHeight="1">
      <c r="A23" s="5" t="s">
        <v>47</v>
      </c>
    </row>
    <row r="24" ht="15.75" customHeight="1">
      <c r="A24" s="5" t="s">
        <v>49</v>
      </c>
    </row>
    <row r="25" ht="15.75" customHeight="1">
      <c r="A25" s="5" t="s">
        <v>50</v>
      </c>
    </row>
    <row r="26" ht="15.75" customHeight="1">
      <c r="A26" s="5" t="s">
        <v>53</v>
      </c>
    </row>
    <row r="27" ht="15.75" customHeight="1">
      <c r="A27" s="3"/>
    </row>
    <row r="28" ht="15.75" customHeight="1">
      <c r="A28" s="4" t="s">
        <v>57</v>
      </c>
    </row>
    <row r="29" ht="15.75" customHeight="1">
      <c r="A29" s="3" t="s">
        <v>58</v>
      </c>
    </row>
    <row r="30" ht="15.75" customHeight="1">
      <c r="A30" s="5" t="s">
        <v>59</v>
      </c>
    </row>
    <row r="31" ht="15.75" customHeight="1">
      <c r="A31" s="5" t="s">
        <v>60</v>
      </c>
    </row>
    <row r="32" ht="15.75" customHeight="1">
      <c r="A32" s="11" t="s">
        <v>61</v>
      </c>
    </row>
    <row r="33" ht="15.75" customHeight="1">
      <c r="A33" s="4" t="s">
        <v>65</v>
      </c>
    </row>
    <row r="34" ht="15.75" customHeight="1">
      <c r="A34" s="3" t="s">
        <v>66</v>
      </c>
    </row>
    <row r="35" ht="15.75" customHeight="1">
      <c r="A35" s="3"/>
    </row>
    <row r="36" ht="15.75" customHeight="1">
      <c r="A36" s="4" t="s">
        <v>67</v>
      </c>
    </row>
    <row r="37" ht="15.75" customHeight="1">
      <c r="A37" s="5" t="s">
        <v>68</v>
      </c>
    </row>
    <row r="38" ht="15.75" customHeight="1">
      <c r="A38" s="5" t="s">
        <v>69</v>
      </c>
    </row>
    <row r="39" ht="15.75" customHeight="1">
      <c r="A39" s="5" t="s">
        <v>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16.0"/>
    <col customWidth="1" min="3" max="3" width="12.0"/>
    <col customWidth="1" min="4" max="4" width="14.0"/>
    <col customWidth="1" min="5" max="5" width="10.0"/>
    <col customWidth="1" min="6" max="6" width="14.0"/>
    <col customWidth="1" min="7" max="7" width="12.0"/>
    <col customWidth="1" min="8" max="8" width="20.0"/>
    <col customWidth="1" min="9" max="9" width="16.0"/>
    <col customWidth="1" min="10" max="10" width="24.0"/>
    <col customWidth="1" min="11" max="11" width="20.0"/>
    <col customWidth="1" min="12" max="13" width="26.0"/>
    <col customWidth="1" min="14" max="15" width="12.0"/>
    <col customWidth="1" hidden="1" min="16" max="18" width="10.0"/>
    <col customWidth="1" min="19" max="19" width="22.57"/>
    <col customWidth="1" min="20" max="20" width="14.14"/>
    <col customWidth="1" min="21" max="26" width="8.71"/>
  </cols>
  <sheetData>
    <row r="1">
      <c r="A1" s="1" t="s">
        <v>2</v>
      </c>
      <c r="B1" s="1" t="s">
        <v>6</v>
      </c>
      <c r="C1" s="1" t="s">
        <v>3</v>
      </c>
      <c r="D1" s="1" t="s">
        <v>4</v>
      </c>
      <c r="E1" s="1" t="s">
        <v>16</v>
      </c>
      <c r="F1" s="1" t="s">
        <v>18</v>
      </c>
      <c r="G1" s="1" t="s">
        <v>19</v>
      </c>
      <c r="H1" s="1" t="s">
        <v>5</v>
      </c>
      <c r="I1" s="1" t="s">
        <v>7</v>
      </c>
      <c r="J1" s="1" t="s">
        <v>21</v>
      </c>
      <c r="K1" s="1" t="s">
        <v>22</v>
      </c>
      <c r="L1" s="1" t="s">
        <v>8</v>
      </c>
      <c r="M1" s="1" t="s">
        <v>24</v>
      </c>
      <c r="N1" s="1" t="s">
        <v>25</v>
      </c>
      <c r="O1" s="1" t="s">
        <v>27</v>
      </c>
      <c r="P1" s="1" t="s">
        <v>27</v>
      </c>
      <c r="Q1" s="1" t="s">
        <v>27</v>
      </c>
      <c r="R1" s="1" t="s">
        <v>27</v>
      </c>
      <c r="S1" s="6" t="s">
        <v>29</v>
      </c>
      <c r="T1" s="6" t="s">
        <v>32</v>
      </c>
    </row>
    <row r="2">
      <c r="A2" s="7" t="s">
        <v>34</v>
      </c>
      <c r="B2" s="9" t="s">
        <v>37</v>
      </c>
      <c r="C2" s="9" t="s">
        <v>42</v>
      </c>
      <c r="D2" s="9" t="s">
        <v>44</v>
      </c>
      <c r="E2" s="9" t="s">
        <v>46</v>
      </c>
      <c r="F2" s="9" t="s">
        <v>48</v>
      </c>
      <c r="G2" s="9" t="s">
        <v>51</v>
      </c>
      <c r="H2" s="9" t="s">
        <v>52</v>
      </c>
      <c r="I2" s="9" t="s">
        <v>54</v>
      </c>
      <c r="J2" s="9" t="s">
        <v>55</v>
      </c>
      <c r="K2" s="9" t="s">
        <v>56</v>
      </c>
      <c r="L2" s="7" t="s">
        <v>62</v>
      </c>
      <c r="M2" s="9" t="s">
        <v>63</v>
      </c>
      <c r="N2" s="7" t="s">
        <v>64</v>
      </c>
      <c r="O2" s="7" t="s">
        <v>64</v>
      </c>
      <c r="P2" s="12" t="str">
        <f t="shared" ref="P2:P25" si="1">IF(L2="","",C2&amp;"|"&amp;D2&amp;"|"&amp;H2&amp;"|"&amp;I2&amp;"|"&amp;L2)</f>
        <v>식단|개입치료|다이어터,20-40대|앱단독|Subscription(구독형)</v>
      </c>
      <c r="Q2" s="12">
        <f t="shared" ref="Q2:Q25" si="2">IF(P2="",0,IF(COUNTIF($P$2:P2,P2)=1,1,0))</f>
        <v>1</v>
      </c>
      <c r="R2" s="12">
        <f t="shared" ref="R2:R28" si="3">IF(Q2=1,SUM($Q$2:Q2),"")</f>
        <v>1</v>
      </c>
    </row>
    <row r="3">
      <c r="A3" s="7" t="s">
        <v>71</v>
      </c>
      <c r="B3" s="9" t="s">
        <v>72</v>
      </c>
      <c r="C3" s="9" t="s">
        <v>73</v>
      </c>
      <c r="D3" s="9" t="s">
        <v>74</v>
      </c>
      <c r="E3" s="9" t="s">
        <v>75</v>
      </c>
      <c r="F3" s="9" t="s">
        <v>76</v>
      </c>
      <c r="G3" s="9" t="s">
        <v>77</v>
      </c>
      <c r="H3" s="9" t="s">
        <v>78</v>
      </c>
      <c r="I3" s="9" t="s">
        <v>79</v>
      </c>
      <c r="J3" s="9" t="s">
        <v>80</v>
      </c>
      <c r="K3" s="9" t="s">
        <v>81</v>
      </c>
      <c r="L3" s="7" t="s">
        <v>82</v>
      </c>
      <c r="M3" s="9" t="s">
        <v>83</v>
      </c>
      <c r="N3" s="7" t="s">
        <v>64</v>
      </c>
      <c r="O3" s="7" t="s">
        <v>64</v>
      </c>
      <c r="P3" s="12" t="str">
        <f t="shared" si="1"/>
        <v>운동|데이터기록관리|전연령|웨어러블연동|Lock-in(락인)</v>
      </c>
      <c r="Q3" s="12">
        <f t="shared" si="2"/>
        <v>1</v>
      </c>
      <c r="R3" s="12">
        <f t="shared" si="3"/>
        <v>2</v>
      </c>
    </row>
    <row r="4">
      <c r="A4" s="10" t="str">
        <f t="shared" ref="A4:A28" si="4">"CP"&amp;TEXT(ROW()-1,"000")</f>
        <v>CP003</v>
      </c>
      <c r="B4" s="13" t="s">
        <v>84</v>
      </c>
      <c r="C4" s="13" t="s">
        <v>85</v>
      </c>
      <c r="D4" s="13" t="s">
        <v>74</v>
      </c>
      <c r="E4" s="13" t="s">
        <v>75</v>
      </c>
      <c r="F4" s="13" t="s">
        <v>48</v>
      </c>
      <c r="G4" s="13" t="s">
        <v>51</v>
      </c>
      <c r="H4" s="13" t="s">
        <v>86</v>
      </c>
      <c r="I4" s="13" t="s">
        <v>54</v>
      </c>
      <c r="J4" s="13" t="s">
        <v>87</v>
      </c>
      <c r="K4" s="13" t="s">
        <v>88</v>
      </c>
      <c r="L4" s="13" t="s">
        <v>89</v>
      </c>
      <c r="M4" s="13" t="s">
        <v>90</v>
      </c>
      <c r="N4" s="15">
        <v>46225.0</v>
      </c>
      <c r="O4" s="15">
        <v>46225.0</v>
      </c>
      <c r="P4" s="12" t="str">
        <f t="shared" si="1"/>
        <v>여성건강|데이터기록관리|가임기 여성|앱단독|Freemium(프리미엄)</v>
      </c>
      <c r="Q4" s="12">
        <f t="shared" si="2"/>
        <v>1</v>
      </c>
      <c r="R4" s="12">
        <f t="shared" si="3"/>
        <v>3</v>
      </c>
      <c r="S4" s="17" t="s">
        <v>91</v>
      </c>
      <c r="T4" s="17" t="s">
        <v>92</v>
      </c>
    </row>
    <row r="5">
      <c r="A5" s="10" t="str">
        <f t="shared" si="4"/>
        <v>CP004</v>
      </c>
      <c r="B5" s="13" t="s">
        <v>93</v>
      </c>
      <c r="C5" s="13" t="s">
        <v>85</v>
      </c>
      <c r="D5" s="13" t="s">
        <v>94</v>
      </c>
      <c r="E5" s="13" t="s">
        <v>75</v>
      </c>
      <c r="F5" s="13" t="s">
        <v>76</v>
      </c>
      <c r="G5" s="13" t="s">
        <v>51</v>
      </c>
      <c r="H5" s="13" t="s">
        <v>95</v>
      </c>
      <c r="I5" s="13" t="s">
        <v>54</v>
      </c>
      <c r="J5" s="13" t="s">
        <v>96</v>
      </c>
      <c r="K5" s="13" t="s">
        <v>97</v>
      </c>
      <c r="L5" s="13" t="s">
        <v>98</v>
      </c>
      <c r="M5" s="13" t="s">
        <v>99</v>
      </c>
      <c r="N5" s="15">
        <v>46225.0</v>
      </c>
      <c r="O5" s="15">
        <v>46225.0</v>
      </c>
      <c r="P5" s="12" t="str">
        <f t="shared" si="1"/>
        <v>여성건강|정보제공|임산부,초보양육자|앱단독|Two-sided Market(양면시장)</v>
      </c>
      <c r="Q5" s="12">
        <f t="shared" si="2"/>
        <v>1</v>
      </c>
      <c r="R5" s="12">
        <f t="shared" si="3"/>
        <v>4</v>
      </c>
      <c r="S5" s="17" t="s">
        <v>100</v>
      </c>
      <c r="T5" s="17" t="s">
        <v>101</v>
      </c>
    </row>
    <row r="6">
      <c r="A6" s="10" t="str">
        <f t="shared" si="4"/>
        <v>CP005</v>
      </c>
      <c r="B6" s="13" t="s">
        <v>102</v>
      </c>
      <c r="C6" s="13" t="s">
        <v>85</v>
      </c>
      <c r="D6" s="13" t="s">
        <v>44</v>
      </c>
      <c r="E6" s="13" t="s">
        <v>75</v>
      </c>
      <c r="F6" s="13" t="s">
        <v>103</v>
      </c>
      <c r="G6" s="13" t="s">
        <v>51</v>
      </c>
      <c r="H6" s="13" t="s">
        <v>104</v>
      </c>
      <c r="I6" s="13" t="s">
        <v>105</v>
      </c>
      <c r="J6" s="13" t="s">
        <v>106</v>
      </c>
      <c r="K6" s="13" t="s">
        <v>107</v>
      </c>
      <c r="L6" s="13" t="s">
        <v>108</v>
      </c>
      <c r="M6" s="13" t="s">
        <v>109</v>
      </c>
      <c r="N6" s="15">
        <v>46225.0</v>
      </c>
      <c r="O6" s="15">
        <v>46225.0</v>
      </c>
      <c r="P6" s="12" t="str">
        <f t="shared" si="1"/>
        <v>여성건강|개입치료|난임부부|B2B2C(기업복지제휴)|Performance-based Contracting(성과기반계약)</v>
      </c>
      <c r="Q6" s="12">
        <f t="shared" si="2"/>
        <v>1</v>
      </c>
      <c r="R6" s="12">
        <f t="shared" si="3"/>
        <v>5</v>
      </c>
      <c r="S6" s="18" t="s">
        <v>110</v>
      </c>
      <c r="T6" s="17" t="s">
        <v>111</v>
      </c>
    </row>
    <row r="7">
      <c r="A7" s="10" t="str">
        <f t="shared" si="4"/>
        <v>CP006</v>
      </c>
      <c r="B7" s="13" t="s">
        <v>112</v>
      </c>
      <c r="C7" s="13" t="s">
        <v>85</v>
      </c>
      <c r="D7" s="13" t="s">
        <v>94</v>
      </c>
      <c r="E7" s="13" t="s">
        <v>75</v>
      </c>
      <c r="F7" s="13" t="s">
        <v>103</v>
      </c>
      <c r="G7" s="13" t="s">
        <v>51</v>
      </c>
      <c r="H7" s="13" t="s">
        <v>113</v>
      </c>
      <c r="I7" s="13" t="s">
        <v>54</v>
      </c>
      <c r="J7" s="13" t="s">
        <v>114</v>
      </c>
      <c r="K7" s="13" t="s">
        <v>115</v>
      </c>
      <c r="L7" s="13" t="s">
        <v>89</v>
      </c>
      <c r="M7" s="13" t="s">
        <v>116</v>
      </c>
      <c r="N7" s="15">
        <v>46225.0</v>
      </c>
      <c r="O7" s="15">
        <v>46225.0</v>
      </c>
      <c r="P7" s="12" t="str">
        <f t="shared" si="1"/>
        <v>여성건강|정보제공|여성 전연령|앱단독|Freemium(프리미엄)</v>
      </c>
      <c r="Q7" s="12">
        <f t="shared" si="2"/>
        <v>1</v>
      </c>
      <c r="R7" s="12">
        <f t="shared" si="3"/>
        <v>6</v>
      </c>
      <c r="S7" s="17" t="s">
        <v>117</v>
      </c>
      <c r="T7" s="17" t="s">
        <v>118</v>
      </c>
    </row>
    <row r="8">
      <c r="A8" s="10" t="str">
        <f t="shared" si="4"/>
        <v>CP007</v>
      </c>
      <c r="B8" s="13" t="s">
        <v>119</v>
      </c>
      <c r="C8" s="13" t="s">
        <v>85</v>
      </c>
      <c r="D8" s="13" t="s">
        <v>44</v>
      </c>
      <c r="E8" s="13" t="s">
        <v>75</v>
      </c>
      <c r="F8" s="13" t="s">
        <v>103</v>
      </c>
      <c r="G8" s="13" t="s">
        <v>51</v>
      </c>
      <c r="H8" s="13" t="s">
        <v>120</v>
      </c>
      <c r="I8" s="13" t="s">
        <v>121</v>
      </c>
      <c r="J8" s="13" t="s">
        <v>122</v>
      </c>
      <c r="K8" s="13" t="s">
        <v>123</v>
      </c>
      <c r="L8" s="13" t="s">
        <v>124</v>
      </c>
      <c r="M8" s="13" t="s">
        <v>125</v>
      </c>
      <c r="N8" s="15">
        <v>46228.0</v>
      </c>
      <c r="O8" s="15">
        <v>46228.0</v>
      </c>
      <c r="P8" s="12" t="str">
        <f t="shared" si="1"/>
        <v>여성건강|개입치료|가임기여성|D2C구독|Subscription(구독형)</v>
      </c>
      <c r="Q8" s="12">
        <f t="shared" si="2"/>
        <v>1</v>
      </c>
      <c r="R8" s="12">
        <f t="shared" si="3"/>
        <v>7</v>
      </c>
      <c r="S8" s="17" t="s">
        <v>126</v>
      </c>
      <c r="T8" s="17" t="s">
        <v>127</v>
      </c>
    </row>
    <row r="9">
      <c r="A9" s="10" t="str">
        <f t="shared" si="4"/>
        <v>CP008</v>
      </c>
      <c r="B9" s="13" t="s">
        <v>128</v>
      </c>
      <c r="C9" s="13" t="s">
        <v>85</v>
      </c>
      <c r="D9" s="13" t="s">
        <v>94</v>
      </c>
      <c r="E9" s="13" t="s">
        <v>75</v>
      </c>
      <c r="F9" s="13" t="s">
        <v>103</v>
      </c>
      <c r="G9" s="13" t="s">
        <v>51</v>
      </c>
      <c r="H9" s="13" t="s">
        <v>129</v>
      </c>
      <c r="I9" s="13" t="s">
        <v>130</v>
      </c>
      <c r="J9" s="13" t="s">
        <v>131</v>
      </c>
      <c r="K9" s="13" t="s">
        <v>132</v>
      </c>
      <c r="L9" s="13" t="s">
        <v>133</v>
      </c>
      <c r="M9" s="13" t="s">
        <v>134</v>
      </c>
      <c r="N9" s="15">
        <v>46228.0</v>
      </c>
      <c r="O9" s="15">
        <v>46228.0</v>
      </c>
      <c r="P9" s="12" t="str">
        <f t="shared" si="1"/>
        <v>여성건강|정보제공|2030 여성 |웹/커머스|Add-on(애드온)</v>
      </c>
      <c r="Q9" s="12">
        <f t="shared" si="2"/>
        <v>1</v>
      </c>
      <c r="R9" s="12">
        <f t="shared" si="3"/>
        <v>8</v>
      </c>
      <c r="S9" s="17" t="s">
        <v>135</v>
      </c>
      <c r="T9" s="17" t="s">
        <v>136</v>
      </c>
    </row>
    <row r="10">
      <c r="A10" s="10" t="str">
        <f t="shared" si="4"/>
        <v>CP009</v>
      </c>
      <c r="B10" s="13" t="s">
        <v>137</v>
      </c>
      <c r="C10" s="13" t="s">
        <v>85</v>
      </c>
      <c r="D10" s="13" t="s">
        <v>74</v>
      </c>
      <c r="E10" s="13" t="s">
        <v>75</v>
      </c>
      <c r="F10" s="13" t="s">
        <v>103</v>
      </c>
      <c r="G10" s="13" t="s">
        <v>77</v>
      </c>
      <c r="H10" s="13" t="s">
        <v>120</v>
      </c>
      <c r="I10" s="13" t="s">
        <v>54</v>
      </c>
      <c r="J10" s="13" t="s">
        <v>138</v>
      </c>
      <c r="K10" s="13" t="s">
        <v>139</v>
      </c>
      <c r="L10" s="13" t="s">
        <v>140</v>
      </c>
      <c r="M10" s="13" t="s">
        <v>141</v>
      </c>
      <c r="N10" s="15">
        <v>46228.0</v>
      </c>
      <c r="O10" s="15">
        <v>46228.0</v>
      </c>
      <c r="P10" s="12" t="str">
        <f t="shared" si="1"/>
        <v>여성건강|데이터기록관리|가임기여성|앱단독|Leverage Customer Data(데이터활용)</v>
      </c>
      <c r="Q10" s="12">
        <f t="shared" si="2"/>
        <v>1</v>
      </c>
      <c r="R10" s="12">
        <f t="shared" si="3"/>
        <v>9</v>
      </c>
      <c r="S10" s="17" t="s">
        <v>142</v>
      </c>
      <c r="T10" s="17" t="s">
        <v>143</v>
      </c>
    </row>
    <row r="11">
      <c r="A11" s="10" t="str">
        <f t="shared" si="4"/>
        <v>CP010</v>
      </c>
      <c r="B11" s="19" t="s">
        <v>144</v>
      </c>
      <c r="C11" s="19" t="s">
        <v>85</v>
      </c>
      <c r="D11" s="19" t="s">
        <v>74</v>
      </c>
      <c r="E11" s="19" t="s">
        <v>75</v>
      </c>
      <c r="F11" s="19" t="s">
        <v>76</v>
      </c>
      <c r="G11" s="19" t="s">
        <v>51</v>
      </c>
      <c r="H11" s="19" t="s">
        <v>145</v>
      </c>
      <c r="I11" s="19" t="s">
        <v>54</v>
      </c>
      <c r="J11" s="19" t="s">
        <v>146</v>
      </c>
      <c r="K11" s="19" t="s">
        <v>147</v>
      </c>
      <c r="L11" s="20" t="s">
        <v>140</v>
      </c>
      <c r="M11" s="19" t="s">
        <v>148</v>
      </c>
      <c r="N11" s="21">
        <v>46229.0</v>
      </c>
      <c r="O11" s="21">
        <v>46229.0</v>
      </c>
      <c r="P11" s="12" t="str">
        <f t="shared" si="1"/>
        <v>여성건강|데이터기록관리|여성 전연령(청소년 포함)|앱단독|Leverage Customer Data(데이터활용)</v>
      </c>
      <c r="Q11" s="12">
        <f t="shared" si="2"/>
        <v>1</v>
      </c>
      <c r="R11" s="12">
        <f t="shared" si="3"/>
        <v>10</v>
      </c>
      <c r="S11" s="17" t="s">
        <v>149</v>
      </c>
      <c r="T11" s="17" t="s">
        <v>150</v>
      </c>
    </row>
    <row r="12">
      <c r="A12" s="10" t="str">
        <f t="shared" si="4"/>
        <v>CP011</v>
      </c>
      <c r="B12" s="19" t="s">
        <v>151</v>
      </c>
      <c r="C12" s="19" t="s">
        <v>85</v>
      </c>
      <c r="D12" s="19" t="s">
        <v>94</v>
      </c>
      <c r="E12" s="19" t="s">
        <v>75</v>
      </c>
      <c r="F12" s="19" t="s">
        <v>48</v>
      </c>
      <c r="G12" s="19" t="s">
        <v>51</v>
      </c>
      <c r="H12" s="19" t="s">
        <v>152</v>
      </c>
      <c r="I12" s="19" t="s">
        <v>54</v>
      </c>
      <c r="J12" s="19" t="s">
        <v>153</v>
      </c>
      <c r="K12" s="19" t="s">
        <v>154</v>
      </c>
      <c r="L12" s="20" t="s">
        <v>98</v>
      </c>
      <c r="M12" s="19" t="s">
        <v>155</v>
      </c>
      <c r="N12" s="21">
        <v>46229.0</v>
      </c>
      <c r="O12" s="21">
        <v>46229.0</v>
      </c>
      <c r="P12" s="12" t="str">
        <f t="shared" si="1"/>
        <v>여성건강|정보제공|임산부,예비부모|앱단독|Two-sided Market(양면시장)</v>
      </c>
      <c r="Q12" s="12">
        <f t="shared" si="2"/>
        <v>1</v>
      </c>
      <c r="R12" s="12">
        <f t="shared" si="3"/>
        <v>11</v>
      </c>
      <c r="S12" s="17" t="s">
        <v>156</v>
      </c>
      <c r="T12" s="17" t="s">
        <v>157</v>
      </c>
    </row>
    <row r="13">
      <c r="A13" s="10" t="str">
        <f t="shared" si="4"/>
        <v>CP012</v>
      </c>
      <c r="B13" s="22" t="s">
        <v>158</v>
      </c>
      <c r="C13" s="19" t="s">
        <v>85</v>
      </c>
      <c r="D13" s="19" t="s">
        <v>44</v>
      </c>
      <c r="E13" s="19" t="s">
        <v>75</v>
      </c>
      <c r="F13" s="19" t="s">
        <v>103</v>
      </c>
      <c r="G13" s="19" t="s">
        <v>77</v>
      </c>
      <c r="H13" s="19" t="s">
        <v>104</v>
      </c>
      <c r="I13" s="20" t="s">
        <v>159</v>
      </c>
      <c r="J13" s="19" t="s">
        <v>160</v>
      </c>
      <c r="K13" s="19" t="s">
        <v>161</v>
      </c>
      <c r="L13" s="20" t="s">
        <v>108</v>
      </c>
      <c r="M13" s="19" t="s">
        <v>162</v>
      </c>
      <c r="N13" s="21">
        <v>46229.0</v>
      </c>
      <c r="O13" s="21">
        <v>46229.0</v>
      </c>
      <c r="P13" s="12" t="str">
        <f t="shared" si="1"/>
        <v>여성건강|개입치료|난임부부|B2B(의료기관 대상 SaaS)|Performance-based Contracting(성과기반계약)</v>
      </c>
      <c r="Q13" s="12">
        <f t="shared" si="2"/>
        <v>1</v>
      </c>
      <c r="R13" s="12">
        <f t="shared" si="3"/>
        <v>12</v>
      </c>
      <c r="S13" s="17" t="s">
        <v>163</v>
      </c>
      <c r="T13" s="18" t="s">
        <v>164</v>
      </c>
    </row>
    <row r="14">
      <c r="A14" s="10" t="str">
        <f t="shared" si="4"/>
        <v>CP013</v>
      </c>
      <c r="B14" s="19" t="s">
        <v>165</v>
      </c>
      <c r="C14" s="19" t="s">
        <v>85</v>
      </c>
      <c r="D14" s="19" t="s">
        <v>44</v>
      </c>
      <c r="E14" s="19" t="s">
        <v>75</v>
      </c>
      <c r="F14" s="19" t="s">
        <v>103</v>
      </c>
      <c r="G14" s="19" t="s">
        <v>51</v>
      </c>
      <c r="H14" s="23" t="s">
        <v>120</v>
      </c>
      <c r="I14" s="20" t="s">
        <v>166</v>
      </c>
      <c r="J14" s="19" t="s">
        <v>167</v>
      </c>
      <c r="K14" s="19" t="s">
        <v>168</v>
      </c>
      <c r="L14" s="20" t="s">
        <v>169</v>
      </c>
      <c r="M14" s="19" t="s">
        <v>170</v>
      </c>
      <c r="N14" s="21">
        <v>46229.0</v>
      </c>
      <c r="O14" s="21">
        <v>46229.0</v>
      </c>
      <c r="P14" s="12" t="str">
        <f t="shared" si="1"/>
        <v>여성건강|개입치료|가임기여성|D2C(제조판매)|Razor And Blade(레이저블레</v>
      </c>
      <c r="Q14" s="12">
        <f t="shared" si="2"/>
        <v>1</v>
      </c>
      <c r="R14" s="12">
        <f t="shared" si="3"/>
        <v>13</v>
      </c>
      <c r="S14" s="17" t="s">
        <v>171</v>
      </c>
      <c r="T14" s="17" t="s">
        <v>172</v>
      </c>
    </row>
    <row r="15">
      <c r="A15" s="10" t="str">
        <f t="shared" si="4"/>
        <v>CP014</v>
      </c>
      <c r="B15" s="19" t="s">
        <v>173</v>
      </c>
      <c r="C15" s="19" t="s">
        <v>85</v>
      </c>
      <c r="D15" s="19" t="s">
        <v>44</v>
      </c>
      <c r="E15" s="19" t="s">
        <v>75</v>
      </c>
      <c r="F15" s="19" t="s">
        <v>103</v>
      </c>
      <c r="G15" s="19" t="s">
        <v>77</v>
      </c>
      <c r="H15" s="19" t="s">
        <v>174</v>
      </c>
      <c r="I15" s="19" t="s">
        <v>175</v>
      </c>
      <c r="J15" s="19" t="s">
        <v>176</v>
      </c>
      <c r="K15" s="19" t="s">
        <v>177</v>
      </c>
      <c r="L15" s="20" t="s">
        <v>169</v>
      </c>
      <c r="M15" s="19" t="s">
        <v>178</v>
      </c>
      <c r="N15" s="21">
        <v>46229.0</v>
      </c>
      <c r="O15" s="21">
        <v>46229.0</v>
      </c>
      <c r="P15" s="12" t="str">
        <f t="shared" si="1"/>
        <v>여성건강|개입치료|가임기~갱년기 여성|기기+소모품(D2C)|Razor And Blade(레이저블레</v>
      </c>
      <c r="Q15" s="12">
        <f t="shared" si="2"/>
        <v>1</v>
      </c>
      <c r="R15" s="12">
        <f t="shared" si="3"/>
        <v>14</v>
      </c>
      <c r="S15" s="17" t="s">
        <v>179</v>
      </c>
      <c r="T15" s="17" t="s">
        <v>180</v>
      </c>
    </row>
    <row r="16">
      <c r="A16" s="10" t="str">
        <f t="shared" si="4"/>
        <v>CP015</v>
      </c>
      <c r="B16" s="13" t="s">
        <v>181</v>
      </c>
      <c r="C16" s="13" t="s">
        <v>182</v>
      </c>
      <c r="D16" s="13" t="s">
        <v>94</v>
      </c>
      <c r="E16" s="13" t="s">
        <v>75</v>
      </c>
      <c r="F16" s="13" t="s">
        <v>76</v>
      </c>
      <c r="G16" s="13" t="s">
        <v>51</v>
      </c>
      <c r="H16" s="13" t="s">
        <v>183</v>
      </c>
      <c r="I16" s="13" t="s">
        <v>54</v>
      </c>
      <c r="J16" s="13" t="s">
        <v>184</v>
      </c>
      <c r="K16" s="13" t="s">
        <v>185</v>
      </c>
      <c r="L16" s="13" t="s">
        <v>140</v>
      </c>
      <c r="M16" s="13" t="s">
        <v>186</v>
      </c>
      <c r="N16" s="15">
        <v>46225.0</v>
      </c>
      <c r="O16" s="15">
        <v>46225.0</v>
      </c>
      <c r="P16" s="12" t="str">
        <f t="shared" si="1"/>
        <v>미용|정보제공|전연령뷰티소비자|앱단독|Leverage Customer Data(데이터활용)</v>
      </c>
      <c r="Q16" s="12">
        <f t="shared" si="2"/>
        <v>1</v>
      </c>
      <c r="R16" s="12">
        <f t="shared" si="3"/>
        <v>15</v>
      </c>
      <c r="S16" s="17" t="s">
        <v>187</v>
      </c>
      <c r="T16" s="17" t="s">
        <v>188</v>
      </c>
    </row>
    <row r="17">
      <c r="A17" s="10" t="str">
        <f t="shared" si="4"/>
        <v>CP016</v>
      </c>
      <c r="B17" s="13" t="s">
        <v>189</v>
      </c>
      <c r="C17" s="13" t="s">
        <v>182</v>
      </c>
      <c r="D17" s="13" t="s">
        <v>190</v>
      </c>
      <c r="E17" s="13" t="s">
        <v>75</v>
      </c>
      <c r="F17" s="13" t="s">
        <v>48</v>
      </c>
      <c r="G17" s="13" t="s">
        <v>51</v>
      </c>
      <c r="H17" s="13" t="s">
        <v>183</v>
      </c>
      <c r="I17" s="13" t="s">
        <v>191</v>
      </c>
      <c r="J17" s="13" t="s">
        <v>192</v>
      </c>
      <c r="K17" s="13" t="s">
        <v>193</v>
      </c>
      <c r="L17" s="13" t="s">
        <v>124</v>
      </c>
      <c r="M17" s="13" t="s">
        <v>194</v>
      </c>
      <c r="N17" s="15">
        <v>46225.0</v>
      </c>
      <c r="O17" s="15">
        <v>46225.0</v>
      </c>
      <c r="P17" s="12" t="str">
        <f t="shared" si="1"/>
        <v>미용|매칭연결|전연령뷰티소비자|커머스연계|Subscription(구독형)</v>
      </c>
      <c r="Q17" s="12">
        <f t="shared" si="2"/>
        <v>1</v>
      </c>
      <c r="R17" s="12">
        <f t="shared" si="3"/>
        <v>16</v>
      </c>
      <c r="S17" s="17" t="s">
        <v>195</v>
      </c>
      <c r="T17" s="17" t="s">
        <v>196</v>
      </c>
    </row>
    <row r="18">
      <c r="A18" s="10" t="str">
        <f t="shared" si="4"/>
        <v>CP017</v>
      </c>
      <c r="B18" s="13" t="s">
        <v>197</v>
      </c>
      <c r="C18" s="13" t="s">
        <v>182</v>
      </c>
      <c r="D18" s="13" t="s">
        <v>94</v>
      </c>
      <c r="E18" s="13" t="s">
        <v>75</v>
      </c>
      <c r="F18" s="13" t="s">
        <v>103</v>
      </c>
      <c r="G18" s="13" t="s">
        <v>51</v>
      </c>
      <c r="H18" s="13" t="s">
        <v>183</v>
      </c>
      <c r="I18" s="13" t="s">
        <v>54</v>
      </c>
      <c r="J18" s="13" t="s">
        <v>198</v>
      </c>
      <c r="K18" s="13" t="s">
        <v>199</v>
      </c>
      <c r="L18" s="13" t="s">
        <v>89</v>
      </c>
      <c r="M18" s="13" t="s">
        <v>200</v>
      </c>
      <c r="N18" s="15">
        <v>46225.0</v>
      </c>
      <c r="O18" s="15">
        <v>46225.0</v>
      </c>
      <c r="P18" s="12" t="str">
        <f t="shared" si="1"/>
        <v>미용|정보제공|전연령뷰티소비자|앱단독|Freemium(프리미엄)</v>
      </c>
      <c r="Q18" s="12">
        <f t="shared" si="2"/>
        <v>1</v>
      </c>
      <c r="R18" s="12">
        <f t="shared" si="3"/>
        <v>17</v>
      </c>
      <c r="S18" s="17" t="s">
        <v>201</v>
      </c>
      <c r="T18" s="17" t="s">
        <v>202</v>
      </c>
    </row>
    <row r="19">
      <c r="A19" s="10" t="str">
        <f t="shared" si="4"/>
        <v>CP018</v>
      </c>
      <c r="B19" s="13" t="s">
        <v>203</v>
      </c>
      <c r="C19" s="13" t="s">
        <v>182</v>
      </c>
      <c r="D19" s="13" t="s">
        <v>94</v>
      </c>
      <c r="E19" s="13" t="s">
        <v>75</v>
      </c>
      <c r="F19" s="13" t="s">
        <v>103</v>
      </c>
      <c r="G19" s="13" t="s">
        <v>51</v>
      </c>
      <c r="H19" s="13" t="s">
        <v>113</v>
      </c>
      <c r="I19" s="13" t="s">
        <v>54</v>
      </c>
      <c r="J19" s="13" t="s">
        <v>204</v>
      </c>
      <c r="K19" s="13" t="s">
        <v>205</v>
      </c>
      <c r="L19" s="13" t="s">
        <v>89</v>
      </c>
      <c r="M19" s="13" t="s">
        <v>206</v>
      </c>
      <c r="N19" s="15">
        <v>46225.0</v>
      </c>
      <c r="O19" s="15">
        <v>46225.0</v>
      </c>
      <c r="P19" s="12" t="str">
        <f t="shared" si="1"/>
        <v>미용|정보제공|여성 전연령|앱단독|Freemium(프리미엄)</v>
      </c>
      <c r="Q19" s="12">
        <f t="shared" si="2"/>
        <v>1</v>
      </c>
      <c r="R19" s="12">
        <f t="shared" si="3"/>
        <v>18</v>
      </c>
      <c r="S19" s="17" t="s">
        <v>207</v>
      </c>
      <c r="T19" s="17" t="s">
        <v>208</v>
      </c>
    </row>
    <row r="20">
      <c r="A20" s="10" t="str">
        <f t="shared" si="4"/>
        <v>CP019</v>
      </c>
      <c r="B20" s="13" t="s">
        <v>209</v>
      </c>
      <c r="C20" s="13" t="s">
        <v>182</v>
      </c>
      <c r="D20" s="13" t="s">
        <v>190</v>
      </c>
      <c r="E20" s="13" t="s">
        <v>75</v>
      </c>
      <c r="F20" s="13" t="s">
        <v>48</v>
      </c>
      <c r="G20" s="13" t="s">
        <v>51</v>
      </c>
      <c r="H20" s="13" t="s">
        <v>210</v>
      </c>
      <c r="I20" s="13" t="s">
        <v>54</v>
      </c>
      <c r="J20" s="13" t="s">
        <v>211</v>
      </c>
      <c r="K20" s="13" t="s">
        <v>212</v>
      </c>
      <c r="L20" s="13" t="s">
        <v>98</v>
      </c>
      <c r="M20" s="13" t="s">
        <v>213</v>
      </c>
      <c r="N20" s="15">
        <v>46225.0</v>
      </c>
      <c r="O20" s="15">
        <v>46225.0</v>
      </c>
      <c r="P20" s="12" t="str">
        <f t="shared" si="1"/>
        <v>미용|매칭연결|성형/피부시술관심|앱단독|Two-sided Market(양면시장)</v>
      </c>
      <c r="Q20" s="12">
        <f t="shared" si="2"/>
        <v>1</v>
      </c>
      <c r="R20" s="12">
        <f t="shared" si="3"/>
        <v>19</v>
      </c>
      <c r="S20" s="17" t="s">
        <v>214</v>
      </c>
      <c r="T20" s="17" t="s">
        <v>215</v>
      </c>
    </row>
    <row r="21" ht="15.75" customHeight="1">
      <c r="A21" s="10" t="str">
        <f t="shared" si="4"/>
        <v>CP020</v>
      </c>
      <c r="B21" s="13" t="s">
        <v>216</v>
      </c>
      <c r="C21" s="13" t="s">
        <v>182</v>
      </c>
      <c r="D21" s="13" t="s">
        <v>190</v>
      </c>
      <c r="E21" s="13" t="s">
        <v>75</v>
      </c>
      <c r="F21" s="13" t="s">
        <v>103</v>
      </c>
      <c r="G21" s="13" t="s">
        <v>51</v>
      </c>
      <c r="H21" s="13" t="s">
        <v>210</v>
      </c>
      <c r="I21" s="13" t="s">
        <v>54</v>
      </c>
      <c r="J21" s="13" t="s">
        <v>211</v>
      </c>
      <c r="K21" s="13" t="s">
        <v>212</v>
      </c>
      <c r="L21" s="13" t="s">
        <v>98</v>
      </c>
      <c r="M21" s="13" t="s">
        <v>217</v>
      </c>
      <c r="N21" s="15">
        <v>46225.0</v>
      </c>
      <c r="O21" s="15">
        <v>46225.0</v>
      </c>
      <c r="P21" s="12" t="str">
        <f t="shared" si="1"/>
        <v>미용|매칭연결|성형/피부시술관심|앱단독|Two-sided Market(양면시장)</v>
      </c>
      <c r="Q21" s="12">
        <f t="shared" si="2"/>
        <v>0</v>
      </c>
      <c r="R21" s="12" t="str">
        <f t="shared" si="3"/>
        <v/>
      </c>
      <c r="S21" s="17" t="s">
        <v>218</v>
      </c>
      <c r="T21" s="17" t="s">
        <v>215</v>
      </c>
    </row>
    <row r="22" ht="15.75" customHeight="1">
      <c r="A22" s="10" t="str">
        <f t="shared" si="4"/>
        <v>CP021</v>
      </c>
      <c r="B22" s="13" t="s">
        <v>219</v>
      </c>
      <c r="C22" s="13" t="s">
        <v>182</v>
      </c>
      <c r="D22" s="13" t="s">
        <v>44</v>
      </c>
      <c r="E22" s="13" t="s">
        <v>75</v>
      </c>
      <c r="F22" s="13" t="s">
        <v>103</v>
      </c>
      <c r="G22" s="13" t="s">
        <v>77</v>
      </c>
      <c r="H22" s="13" t="s">
        <v>183</v>
      </c>
      <c r="I22" s="13" t="s">
        <v>121</v>
      </c>
      <c r="J22" s="13" t="s">
        <v>220</v>
      </c>
      <c r="K22" s="13" t="s">
        <v>221</v>
      </c>
      <c r="L22" s="13" t="s">
        <v>124</v>
      </c>
      <c r="M22" s="13" t="s">
        <v>222</v>
      </c>
      <c r="N22" s="15">
        <v>46225.0</v>
      </c>
      <c r="O22" s="15">
        <v>46225.0</v>
      </c>
      <c r="P22" s="12" t="str">
        <f t="shared" si="1"/>
        <v>미용|개입치료|전연령뷰티소비자|D2C구독|Subscription(구독형)</v>
      </c>
      <c r="Q22" s="12">
        <f t="shared" si="2"/>
        <v>1</v>
      </c>
      <c r="R22" s="12">
        <f t="shared" si="3"/>
        <v>20</v>
      </c>
      <c r="S22" s="17" t="s">
        <v>223</v>
      </c>
      <c r="T22" s="17" t="s">
        <v>224</v>
      </c>
    </row>
    <row r="23" ht="15.75" customHeight="1">
      <c r="A23" s="10" t="str">
        <f t="shared" si="4"/>
        <v>CP022</v>
      </c>
      <c r="B23" s="13" t="s">
        <v>225</v>
      </c>
      <c r="C23" s="13" t="s">
        <v>182</v>
      </c>
      <c r="D23" s="13" t="s">
        <v>94</v>
      </c>
      <c r="E23" s="13" t="s">
        <v>75</v>
      </c>
      <c r="F23" s="13" t="s">
        <v>103</v>
      </c>
      <c r="G23" s="13" t="s">
        <v>77</v>
      </c>
      <c r="H23" s="13" t="s">
        <v>183</v>
      </c>
      <c r="I23" s="13" t="s">
        <v>226</v>
      </c>
      <c r="J23" s="13" t="s">
        <v>227</v>
      </c>
      <c r="K23" s="13" t="s">
        <v>228</v>
      </c>
      <c r="L23" s="13" t="s">
        <v>229</v>
      </c>
      <c r="M23" s="13" t="s">
        <v>230</v>
      </c>
      <c r="N23" s="15">
        <v>46225.0</v>
      </c>
      <c r="O23" s="15">
        <v>46225.0</v>
      </c>
      <c r="P23" s="12" t="str">
        <f t="shared" si="1"/>
        <v>미용|정보제공|전연령뷰티소비자|디바이스+앱(오프라인매장배치)|Sensor As A Service(센서서비스)</v>
      </c>
      <c r="Q23" s="12">
        <f t="shared" si="2"/>
        <v>1</v>
      </c>
      <c r="R23" s="12">
        <f t="shared" si="3"/>
        <v>21</v>
      </c>
      <c r="S23" s="17" t="s">
        <v>231</v>
      </c>
      <c r="T23" s="18" t="s">
        <v>232</v>
      </c>
    </row>
    <row r="24" ht="15.75" customHeight="1">
      <c r="A24" s="10" t="str">
        <f t="shared" si="4"/>
        <v>CP023</v>
      </c>
      <c r="B24" s="13" t="s">
        <v>233</v>
      </c>
      <c r="C24" s="13" t="s">
        <v>182</v>
      </c>
      <c r="D24" s="13" t="s">
        <v>190</v>
      </c>
      <c r="E24" s="13" t="s">
        <v>75</v>
      </c>
      <c r="F24" s="13" t="s">
        <v>103</v>
      </c>
      <c r="G24" s="13" t="s">
        <v>51</v>
      </c>
      <c r="H24" s="13" t="s">
        <v>183</v>
      </c>
      <c r="I24" s="13" t="s">
        <v>54</v>
      </c>
      <c r="J24" s="13" t="s">
        <v>234</v>
      </c>
      <c r="K24" s="13" t="s">
        <v>235</v>
      </c>
      <c r="L24" s="13" t="s">
        <v>98</v>
      </c>
      <c r="M24" s="13" t="s">
        <v>236</v>
      </c>
      <c r="N24" s="15">
        <v>46225.0</v>
      </c>
      <c r="O24" s="15">
        <v>46225.0</v>
      </c>
      <c r="P24" s="12" t="str">
        <f t="shared" si="1"/>
        <v>미용|매칭연결|전연령뷰티소비자|앱단독|Two-sided Market(양면시장)</v>
      </c>
      <c r="Q24" s="12">
        <f t="shared" si="2"/>
        <v>1</v>
      </c>
      <c r="R24" s="12">
        <f t="shared" si="3"/>
        <v>22</v>
      </c>
      <c r="S24" s="17" t="s">
        <v>237</v>
      </c>
      <c r="T24" s="17" t="s">
        <v>238</v>
      </c>
    </row>
    <row r="25" ht="15.75" customHeight="1">
      <c r="A25" s="10" t="str">
        <f t="shared" si="4"/>
        <v>CP024</v>
      </c>
      <c r="B25" s="13" t="s">
        <v>239</v>
      </c>
      <c r="C25" s="13" t="s">
        <v>182</v>
      </c>
      <c r="D25" s="13" t="s">
        <v>94</v>
      </c>
      <c r="E25" s="13" t="s">
        <v>75</v>
      </c>
      <c r="F25" s="13" t="s">
        <v>103</v>
      </c>
      <c r="G25" s="13" t="s">
        <v>77</v>
      </c>
      <c r="H25" s="13" t="s">
        <v>183</v>
      </c>
      <c r="I25" s="13" t="s">
        <v>54</v>
      </c>
      <c r="J25" s="13" t="s">
        <v>240</v>
      </c>
      <c r="K25" s="13" t="s">
        <v>241</v>
      </c>
      <c r="L25" s="13" t="s">
        <v>89</v>
      </c>
      <c r="M25" s="13" t="s">
        <v>242</v>
      </c>
      <c r="N25" s="15">
        <v>46225.0</v>
      </c>
      <c r="O25" s="15">
        <v>46225.0</v>
      </c>
      <c r="P25" s="12" t="str">
        <f t="shared" si="1"/>
        <v>미용|정보제공|전연령뷰티소비자|앱단독|Freemium(프리미엄)</v>
      </c>
      <c r="Q25" s="12">
        <f t="shared" si="2"/>
        <v>0</v>
      </c>
      <c r="R25" s="12" t="str">
        <f t="shared" si="3"/>
        <v/>
      </c>
      <c r="S25" s="18" t="s">
        <v>243</v>
      </c>
      <c r="T25" s="17" t="s">
        <v>244</v>
      </c>
    </row>
    <row r="26" ht="15.75" customHeight="1">
      <c r="A26" s="10" t="str">
        <f t="shared" si="4"/>
        <v>CP025</v>
      </c>
      <c r="B26" s="19" t="s">
        <v>245</v>
      </c>
      <c r="C26" s="19" t="s">
        <v>182</v>
      </c>
      <c r="D26" s="19" t="s">
        <v>190</v>
      </c>
      <c r="E26" s="19" t="s">
        <v>75</v>
      </c>
      <c r="F26" s="19" t="s">
        <v>48</v>
      </c>
      <c r="G26" s="19" t="s">
        <v>51</v>
      </c>
      <c r="H26" s="19" t="s">
        <v>113</v>
      </c>
      <c r="I26" s="19" t="s">
        <v>54</v>
      </c>
      <c r="J26" s="19" t="s">
        <v>246</v>
      </c>
      <c r="K26" s="19" t="s">
        <v>247</v>
      </c>
      <c r="L26" s="20" t="s">
        <v>248</v>
      </c>
      <c r="M26" s="19" t="s">
        <v>249</v>
      </c>
      <c r="N26" s="21">
        <v>46243.0</v>
      </c>
      <c r="O26" s="21">
        <v>46243.0</v>
      </c>
      <c r="P26" s="17" t="s">
        <v>250</v>
      </c>
      <c r="Q26" s="17" t="s">
        <v>251</v>
      </c>
      <c r="R26" s="12" t="str">
        <f t="shared" si="3"/>
        <v/>
      </c>
      <c r="S26" s="17" t="s">
        <v>250</v>
      </c>
      <c r="T26" s="17" t="s">
        <v>251</v>
      </c>
    </row>
    <row r="27" ht="15.75" customHeight="1">
      <c r="A27" s="10" t="str">
        <f t="shared" si="4"/>
        <v>CP026</v>
      </c>
      <c r="B27" s="13" t="s">
        <v>252</v>
      </c>
      <c r="C27" s="13" t="s">
        <v>182</v>
      </c>
      <c r="D27" s="13" t="s">
        <v>190</v>
      </c>
      <c r="E27" s="13" t="s">
        <v>46</v>
      </c>
      <c r="F27" s="13" t="s">
        <v>76</v>
      </c>
      <c r="G27" s="13" t="s">
        <v>51</v>
      </c>
      <c r="H27" s="13" t="s">
        <v>183</v>
      </c>
      <c r="I27" s="13" t="s">
        <v>54</v>
      </c>
      <c r="J27" s="13" t="s">
        <v>253</v>
      </c>
      <c r="K27" s="13" t="s">
        <v>254</v>
      </c>
      <c r="L27" s="13" t="s">
        <v>98</v>
      </c>
      <c r="M27" s="13" t="s">
        <v>255</v>
      </c>
      <c r="N27" s="15">
        <v>46225.0</v>
      </c>
      <c r="O27" s="15">
        <v>46225.0</v>
      </c>
      <c r="P27" s="12" t="str">
        <f t="shared" ref="P27:P28" si="5">IF(L27="","",C27&amp;"|"&amp;D27&amp;"|"&amp;H27&amp;"|"&amp;I27&amp;"|"&amp;L27)</f>
        <v>미용|매칭연결|전연령뷰티소비자|앱단독|Two-sided Market(양면시장)</v>
      </c>
      <c r="Q27" s="12">
        <f t="shared" ref="Q27:Q28" si="6">IF(P27="",0,IF(COUNTIF($P$2:P27,P27)=1,1,0))</f>
        <v>0</v>
      </c>
      <c r="R27" s="12" t="str">
        <f t="shared" si="3"/>
        <v/>
      </c>
      <c r="S27" s="17" t="s">
        <v>256</v>
      </c>
      <c r="T27" s="17" t="s">
        <v>257</v>
      </c>
    </row>
    <row r="28" ht="15.75" customHeight="1">
      <c r="A28" s="10" t="str">
        <f t="shared" si="4"/>
        <v>CP027</v>
      </c>
      <c r="B28" s="13" t="s">
        <v>258</v>
      </c>
      <c r="C28" s="13" t="s">
        <v>182</v>
      </c>
      <c r="D28" s="13" t="s">
        <v>44</v>
      </c>
      <c r="E28" s="13" t="s">
        <v>46</v>
      </c>
      <c r="F28" s="13" t="s">
        <v>103</v>
      </c>
      <c r="G28" s="13" t="s">
        <v>51</v>
      </c>
      <c r="H28" s="13" t="s">
        <v>259</v>
      </c>
      <c r="I28" s="13" t="s">
        <v>260</v>
      </c>
      <c r="J28" s="13" t="s">
        <v>261</v>
      </c>
      <c r="K28" s="13" t="s">
        <v>262</v>
      </c>
      <c r="L28" s="13" t="s">
        <v>124</v>
      </c>
      <c r="M28" s="13" t="s">
        <v>263</v>
      </c>
      <c r="N28" s="15">
        <v>46225.0</v>
      </c>
      <c r="O28" s="15">
        <v>46225.0</v>
      </c>
      <c r="P28" s="12" t="str">
        <f t="shared" si="5"/>
        <v>미용|개입치료|피부트러블여성|원격진료연계|Subscription(구독형)</v>
      </c>
      <c r="Q28" s="12">
        <f t="shared" si="6"/>
        <v>1</v>
      </c>
      <c r="R28" s="12">
        <f t="shared" si="3"/>
        <v>23</v>
      </c>
      <c r="S28" s="17" t="s">
        <v>264</v>
      </c>
      <c r="T28" s="17" t="s">
        <v>265</v>
      </c>
    </row>
    <row r="29" ht="15.75" customHeight="1">
      <c r="A29" s="24" t="s">
        <v>266</v>
      </c>
      <c r="B29" s="13" t="s">
        <v>267</v>
      </c>
      <c r="C29" s="13" t="s">
        <v>268</v>
      </c>
      <c r="D29" s="13" t="s">
        <v>190</v>
      </c>
      <c r="E29" s="13" t="s">
        <v>75</v>
      </c>
      <c r="F29" s="13" t="s">
        <v>48</v>
      </c>
      <c r="G29" s="13" t="s">
        <v>51</v>
      </c>
      <c r="H29" s="13" t="s">
        <v>269</v>
      </c>
      <c r="I29" s="13" t="s">
        <v>270</v>
      </c>
      <c r="J29" s="13" t="s">
        <v>271</v>
      </c>
      <c r="K29" s="13" t="s">
        <v>272</v>
      </c>
      <c r="L29" s="13" t="s">
        <v>98</v>
      </c>
      <c r="M29" s="13" t="s">
        <v>273</v>
      </c>
      <c r="N29" s="15">
        <v>46225.0</v>
      </c>
      <c r="O29" s="15">
        <v>46225.0</v>
      </c>
      <c r="P29" s="25" t="s">
        <v>274</v>
      </c>
      <c r="Q29" s="25">
        <v>1.0</v>
      </c>
      <c r="R29" s="25">
        <v>25.0</v>
      </c>
      <c r="S29" s="26" t="s">
        <v>275</v>
      </c>
      <c r="T29" s="26" t="s">
        <v>276</v>
      </c>
    </row>
    <row r="30" ht="15.75" customHeight="1">
      <c r="A30" s="24" t="s">
        <v>277</v>
      </c>
      <c r="B30" s="13" t="s">
        <v>278</v>
      </c>
      <c r="C30" s="13" t="s">
        <v>268</v>
      </c>
      <c r="D30" s="13" t="s">
        <v>190</v>
      </c>
      <c r="E30" s="13" t="s">
        <v>75</v>
      </c>
      <c r="F30" s="13" t="s">
        <v>103</v>
      </c>
      <c r="G30" s="13" t="s">
        <v>51</v>
      </c>
      <c r="H30" s="13" t="s">
        <v>279</v>
      </c>
      <c r="I30" s="13" t="s">
        <v>280</v>
      </c>
      <c r="J30" s="13" t="s">
        <v>281</v>
      </c>
      <c r="K30" s="13" t="s">
        <v>282</v>
      </c>
      <c r="L30" s="13" t="s">
        <v>98</v>
      </c>
      <c r="M30" s="13" t="s">
        <v>283</v>
      </c>
      <c r="N30" s="15">
        <v>46225.0</v>
      </c>
      <c r="O30" s="15">
        <v>46225.0</v>
      </c>
      <c r="P30" s="25" t="s">
        <v>284</v>
      </c>
      <c r="Q30" s="25">
        <v>1.0</v>
      </c>
      <c r="R30" s="25">
        <v>26.0</v>
      </c>
      <c r="S30" s="26" t="s">
        <v>285</v>
      </c>
      <c r="T30" s="26" t="s">
        <v>286</v>
      </c>
    </row>
    <row r="31" ht="15.75" customHeight="1">
      <c r="A31" s="24" t="s">
        <v>287</v>
      </c>
      <c r="B31" s="13" t="s">
        <v>288</v>
      </c>
      <c r="C31" s="13" t="s">
        <v>268</v>
      </c>
      <c r="D31" s="13" t="s">
        <v>94</v>
      </c>
      <c r="E31" s="13" t="s">
        <v>75</v>
      </c>
      <c r="F31" s="13" t="s">
        <v>48</v>
      </c>
      <c r="G31" s="13" t="s">
        <v>51</v>
      </c>
      <c r="H31" s="13" t="s">
        <v>269</v>
      </c>
      <c r="I31" s="13" t="s">
        <v>289</v>
      </c>
      <c r="J31" s="13" t="s">
        <v>290</v>
      </c>
      <c r="K31" s="13" t="s">
        <v>291</v>
      </c>
      <c r="L31" s="13" t="s">
        <v>124</v>
      </c>
      <c r="M31" s="13" t="s">
        <v>292</v>
      </c>
      <c r="N31" s="15">
        <v>46225.0</v>
      </c>
      <c r="O31" s="15">
        <v>46225.0</v>
      </c>
      <c r="P31" s="25" t="s">
        <v>293</v>
      </c>
      <c r="Q31" s="25">
        <v>1.0</v>
      </c>
      <c r="R31" s="25">
        <v>27.0</v>
      </c>
      <c r="S31" s="26" t="s">
        <v>294</v>
      </c>
      <c r="T31" s="26" t="s">
        <v>295</v>
      </c>
    </row>
    <row r="32" ht="15.75" customHeight="1">
      <c r="A32" s="24" t="s">
        <v>296</v>
      </c>
      <c r="B32" s="13" t="s">
        <v>297</v>
      </c>
      <c r="C32" s="13" t="s">
        <v>268</v>
      </c>
      <c r="D32" s="13" t="s">
        <v>94</v>
      </c>
      <c r="E32" s="13" t="s">
        <v>75</v>
      </c>
      <c r="F32" s="13" t="s">
        <v>103</v>
      </c>
      <c r="G32" s="13" t="s">
        <v>51</v>
      </c>
      <c r="H32" s="13" t="s">
        <v>279</v>
      </c>
      <c r="I32" s="13" t="s">
        <v>298</v>
      </c>
      <c r="J32" s="13" t="s">
        <v>299</v>
      </c>
      <c r="K32" s="13" t="s">
        <v>300</v>
      </c>
      <c r="L32" s="13" t="s">
        <v>89</v>
      </c>
      <c r="M32" s="13" t="s">
        <v>301</v>
      </c>
      <c r="N32" s="15">
        <v>46225.0</v>
      </c>
      <c r="O32" s="15">
        <v>46225.0</v>
      </c>
      <c r="P32" s="25" t="s">
        <v>302</v>
      </c>
      <c r="Q32" s="25">
        <v>1.0</v>
      </c>
      <c r="R32" s="25">
        <v>28.0</v>
      </c>
      <c r="S32" s="26" t="s">
        <v>303</v>
      </c>
      <c r="T32" s="26" t="s">
        <v>304</v>
      </c>
    </row>
    <row r="33" ht="15.75" customHeight="1">
      <c r="A33" s="24" t="s">
        <v>305</v>
      </c>
      <c r="B33" s="13" t="s">
        <v>306</v>
      </c>
      <c r="C33" s="13" t="s">
        <v>268</v>
      </c>
      <c r="D33" s="13" t="s">
        <v>74</v>
      </c>
      <c r="E33" s="13" t="s">
        <v>75</v>
      </c>
      <c r="F33" s="13" t="s">
        <v>48</v>
      </c>
      <c r="G33" s="13" t="s">
        <v>51</v>
      </c>
      <c r="H33" s="13" t="s">
        <v>279</v>
      </c>
      <c r="I33" s="13" t="s">
        <v>307</v>
      </c>
      <c r="J33" s="13" t="s">
        <v>308</v>
      </c>
      <c r="K33" s="13" t="s">
        <v>309</v>
      </c>
      <c r="L33" s="13" t="s">
        <v>89</v>
      </c>
      <c r="M33" s="13" t="s">
        <v>310</v>
      </c>
      <c r="N33" s="15">
        <v>46225.0</v>
      </c>
      <c r="O33" s="15">
        <v>46225.0</v>
      </c>
      <c r="P33" s="25" t="s">
        <v>311</v>
      </c>
      <c r="Q33" s="25">
        <v>1.0</v>
      </c>
      <c r="R33" s="25">
        <v>29.0</v>
      </c>
      <c r="S33" s="26" t="s">
        <v>312</v>
      </c>
      <c r="T33" s="26" t="s">
        <v>313</v>
      </c>
    </row>
    <row r="34" ht="15.75" customHeight="1">
      <c r="A34" s="24" t="s">
        <v>314</v>
      </c>
      <c r="B34" s="13" t="s">
        <v>315</v>
      </c>
      <c r="C34" s="13" t="s">
        <v>268</v>
      </c>
      <c r="D34" s="13" t="s">
        <v>44</v>
      </c>
      <c r="E34" s="13" t="s">
        <v>75</v>
      </c>
      <c r="F34" s="13" t="s">
        <v>103</v>
      </c>
      <c r="G34" s="13" t="s">
        <v>51</v>
      </c>
      <c r="H34" s="13" t="s">
        <v>279</v>
      </c>
      <c r="I34" s="13" t="s">
        <v>316</v>
      </c>
      <c r="J34" s="13" t="s">
        <v>317</v>
      </c>
      <c r="K34" s="13" t="s">
        <v>318</v>
      </c>
      <c r="L34" s="13" t="s">
        <v>89</v>
      </c>
      <c r="M34" s="13" t="s">
        <v>319</v>
      </c>
      <c r="N34" s="15">
        <v>46225.0</v>
      </c>
      <c r="O34" s="15">
        <v>46225.0</v>
      </c>
      <c r="P34" s="25" t="s">
        <v>320</v>
      </c>
      <c r="Q34" s="25">
        <v>1.0</v>
      </c>
      <c r="R34" s="25">
        <v>30.0</v>
      </c>
      <c r="S34" s="26" t="s">
        <v>321</v>
      </c>
      <c r="T34" s="26" t="s">
        <v>322</v>
      </c>
    </row>
    <row r="35" ht="15.75" customHeight="1">
      <c r="A35" s="24" t="s">
        <v>323</v>
      </c>
      <c r="B35" s="13" t="s">
        <v>324</v>
      </c>
      <c r="C35" s="13" t="s">
        <v>268</v>
      </c>
      <c r="D35" s="13" t="s">
        <v>44</v>
      </c>
      <c r="E35" s="13" t="s">
        <v>75</v>
      </c>
      <c r="F35" s="13" t="s">
        <v>103</v>
      </c>
      <c r="G35" s="13" t="s">
        <v>51</v>
      </c>
      <c r="H35" s="13" t="s">
        <v>279</v>
      </c>
      <c r="I35" s="13" t="s">
        <v>325</v>
      </c>
      <c r="J35" s="13" t="s">
        <v>326</v>
      </c>
      <c r="K35" s="13" t="s">
        <v>327</v>
      </c>
      <c r="L35" s="13" t="s">
        <v>124</v>
      </c>
      <c r="M35" s="13" t="s">
        <v>328</v>
      </c>
      <c r="N35" s="15">
        <v>46225.0</v>
      </c>
      <c r="O35" s="15">
        <v>46225.0</v>
      </c>
      <c r="P35" s="25" t="s">
        <v>329</v>
      </c>
      <c r="Q35" s="25">
        <v>1.0</v>
      </c>
      <c r="R35" s="25">
        <v>31.0</v>
      </c>
      <c r="S35" s="26" t="s">
        <v>330</v>
      </c>
      <c r="T35" s="26" t="s">
        <v>331</v>
      </c>
    </row>
    <row r="36" ht="15.75" customHeight="1">
      <c r="A36" s="24" t="s">
        <v>332</v>
      </c>
      <c r="B36" s="13" t="s">
        <v>333</v>
      </c>
      <c r="C36" s="13" t="s">
        <v>268</v>
      </c>
      <c r="D36" s="13" t="s">
        <v>44</v>
      </c>
      <c r="E36" s="13" t="s">
        <v>75</v>
      </c>
      <c r="F36" s="13" t="s">
        <v>103</v>
      </c>
      <c r="G36" s="13" t="s">
        <v>51</v>
      </c>
      <c r="H36" s="13" t="s">
        <v>279</v>
      </c>
      <c r="I36" s="13" t="s">
        <v>334</v>
      </c>
      <c r="J36" s="13" t="s">
        <v>335</v>
      </c>
      <c r="K36" s="13" t="s">
        <v>336</v>
      </c>
      <c r="L36" s="13" t="s">
        <v>124</v>
      </c>
      <c r="M36" s="13" t="s">
        <v>337</v>
      </c>
      <c r="N36" s="15">
        <v>46225.0</v>
      </c>
      <c r="O36" s="15">
        <v>46225.0</v>
      </c>
      <c r="P36" s="25" t="s">
        <v>338</v>
      </c>
      <c r="Q36" s="25">
        <v>1.0</v>
      </c>
      <c r="R36" s="25">
        <v>32.0</v>
      </c>
      <c r="S36" s="26" t="s">
        <v>339</v>
      </c>
      <c r="T36" s="26" t="s">
        <v>340</v>
      </c>
    </row>
    <row r="37" ht="15.75" customHeight="1">
      <c r="A37" s="24" t="s">
        <v>341</v>
      </c>
      <c r="B37" s="13" t="s">
        <v>342</v>
      </c>
      <c r="C37" s="13" t="s">
        <v>268</v>
      </c>
      <c r="D37" s="13" t="s">
        <v>190</v>
      </c>
      <c r="E37" s="13" t="s">
        <v>75</v>
      </c>
      <c r="F37" s="13" t="s">
        <v>76</v>
      </c>
      <c r="G37" s="13" t="s">
        <v>51</v>
      </c>
      <c r="H37" s="13" t="s">
        <v>279</v>
      </c>
      <c r="I37" s="13" t="s">
        <v>343</v>
      </c>
      <c r="J37" s="13" t="s">
        <v>344</v>
      </c>
      <c r="K37" s="13" t="s">
        <v>345</v>
      </c>
      <c r="L37" s="13" t="s">
        <v>98</v>
      </c>
      <c r="M37" s="13" t="s">
        <v>346</v>
      </c>
      <c r="N37" s="15">
        <v>46225.0</v>
      </c>
      <c r="O37" s="15">
        <v>46225.0</v>
      </c>
      <c r="P37" s="25" t="s">
        <v>347</v>
      </c>
      <c r="Q37" s="25">
        <v>1.0</v>
      </c>
      <c r="R37" s="25">
        <v>33.0</v>
      </c>
      <c r="S37" s="26" t="s">
        <v>348</v>
      </c>
      <c r="T37" s="26" t="s">
        <v>349</v>
      </c>
    </row>
    <row r="38" ht="15.75" customHeight="1">
      <c r="A38" s="24" t="s">
        <v>350</v>
      </c>
      <c r="B38" s="13" t="s">
        <v>351</v>
      </c>
      <c r="C38" s="13" t="s">
        <v>268</v>
      </c>
      <c r="D38" s="13" t="s">
        <v>74</v>
      </c>
      <c r="E38" s="13" t="s">
        <v>75</v>
      </c>
      <c r="F38" s="13" t="s">
        <v>103</v>
      </c>
      <c r="G38" s="13" t="s">
        <v>51</v>
      </c>
      <c r="H38" s="13" t="s">
        <v>352</v>
      </c>
      <c r="I38" s="13" t="s">
        <v>353</v>
      </c>
      <c r="J38" s="13" t="s">
        <v>354</v>
      </c>
      <c r="K38" s="13" t="s">
        <v>355</v>
      </c>
      <c r="L38" s="13" t="s">
        <v>356</v>
      </c>
      <c r="M38" s="13" t="s">
        <v>357</v>
      </c>
      <c r="N38" s="15">
        <v>46225.0</v>
      </c>
      <c r="O38" s="15">
        <v>46225.0</v>
      </c>
      <c r="P38" s="25" t="s">
        <v>358</v>
      </c>
      <c r="Q38" s="25">
        <v>1.0</v>
      </c>
      <c r="R38" s="25">
        <v>34.0</v>
      </c>
      <c r="S38" s="26" t="s">
        <v>359</v>
      </c>
      <c r="T38" s="26" t="s">
        <v>360</v>
      </c>
    </row>
    <row r="39" ht="15.75" customHeight="1">
      <c r="A39" s="24" t="s">
        <v>361</v>
      </c>
      <c r="B39" s="13" t="s">
        <v>362</v>
      </c>
      <c r="C39" s="13" t="s">
        <v>268</v>
      </c>
      <c r="D39" s="13" t="s">
        <v>74</v>
      </c>
      <c r="E39" s="13" t="s">
        <v>75</v>
      </c>
      <c r="F39" s="13" t="s">
        <v>103</v>
      </c>
      <c r="G39" s="13" t="s">
        <v>77</v>
      </c>
      <c r="H39" s="13" t="s">
        <v>363</v>
      </c>
      <c r="I39" s="13" t="s">
        <v>364</v>
      </c>
      <c r="J39" s="13" t="s">
        <v>365</v>
      </c>
      <c r="K39" s="13" t="s">
        <v>366</v>
      </c>
      <c r="L39" s="13" t="s">
        <v>229</v>
      </c>
      <c r="M39" s="13" t="s">
        <v>367</v>
      </c>
      <c r="N39" s="15">
        <v>46225.0</v>
      </c>
      <c r="O39" s="15">
        <v>46225.0</v>
      </c>
      <c r="P39" s="25" t="s">
        <v>368</v>
      </c>
      <c r="Q39" s="25">
        <v>1.0</v>
      </c>
      <c r="R39" s="25">
        <v>35.0</v>
      </c>
      <c r="S39" s="26" t="s">
        <v>369</v>
      </c>
      <c r="T39" s="26" t="s">
        <v>370</v>
      </c>
    </row>
    <row r="40" ht="15.75" customHeight="1">
      <c r="A40" s="24" t="s">
        <v>371</v>
      </c>
      <c r="B40" s="13" t="s">
        <v>372</v>
      </c>
      <c r="C40" s="13" t="s">
        <v>268</v>
      </c>
      <c r="D40" s="13" t="s">
        <v>190</v>
      </c>
      <c r="E40" s="13" t="s">
        <v>75</v>
      </c>
      <c r="F40" s="13" t="s">
        <v>103</v>
      </c>
      <c r="G40" s="13" t="s">
        <v>51</v>
      </c>
      <c r="H40" s="13" t="s">
        <v>373</v>
      </c>
      <c r="I40" s="13" t="s">
        <v>374</v>
      </c>
      <c r="J40" s="13" t="s">
        <v>375</v>
      </c>
      <c r="K40" s="13" t="s">
        <v>376</v>
      </c>
      <c r="L40" s="13" t="s">
        <v>248</v>
      </c>
      <c r="M40" s="13" t="s">
        <v>377</v>
      </c>
      <c r="N40" s="15">
        <v>46225.0</v>
      </c>
      <c r="O40" s="15">
        <v>46225.0</v>
      </c>
      <c r="P40" s="25" t="s">
        <v>378</v>
      </c>
      <c r="Q40" s="25">
        <v>1.0</v>
      </c>
      <c r="R40" s="25">
        <v>36.0</v>
      </c>
      <c r="S40" s="26" t="s">
        <v>379</v>
      </c>
      <c r="T40" s="26" t="s">
        <v>380</v>
      </c>
    </row>
    <row r="41" ht="15.75" customHeight="1">
      <c r="A41" s="24" t="s">
        <v>381</v>
      </c>
      <c r="B41" s="13" t="s">
        <v>382</v>
      </c>
      <c r="C41" s="13" t="s">
        <v>383</v>
      </c>
      <c r="D41" s="13" t="s">
        <v>74</v>
      </c>
      <c r="E41" s="13" t="s">
        <v>75</v>
      </c>
      <c r="F41" s="13" t="s">
        <v>76</v>
      </c>
      <c r="G41" s="13" t="s">
        <v>77</v>
      </c>
      <c r="H41" s="13" t="s">
        <v>384</v>
      </c>
      <c r="I41" s="13" t="s">
        <v>385</v>
      </c>
      <c r="J41" s="13" t="s">
        <v>386</v>
      </c>
      <c r="K41" s="13" t="s">
        <v>387</v>
      </c>
      <c r="L41" s="13" t="s">
        <v>89</v>
      </c>
      <c r="M41" s="13" t="s">
        <v>388</v>
      </c>
      <c r="N41" s="15">
        <v>46225.0</v>
      </c>
      <c r="O41" s="15">
        <v>46225.0</v>
      </c>
      <c r="P41" s="25" t="s">
        <v>389</v>
      </c>
      <c r="Q41" s="25">
        <v>1.0</v>
      </c>
      <c r="R41" s="25">
        <v>37.0</v>
      </c>
      <c r="S41" s="26" t="s">
        <v>390</v>
      </c>
      <c r="T41" s="26" t="s">
        <v>391</v>
      </c>
    </row>
    <row r="42" ht="15.75" customHeight="1">
      <c r="A42" s="24" t="s">
        <v>392</v>
      </c>
      <c r="B42" s="13" t="s">
        <v>393</v>
      </c>
      <c r="C42" s="13" t="s">
        <v>383</v>
      </c>
      <c r="D42" s="13" t="s">
        <v>74</v>
      </c>
      <c r="E42" s="13" t="s">
        <v>75</v>
      </c>
      <c r="F42" s="13" t="s">
        <v>48</v>
      </c>
      <c r="G42" s="13" t="s">
        <v>77</v>
      </c>
      <c r="H42" s="13" t="s">
        <v>394</v>
      </c>
      <c r="I42" s="13" t="s">
        <v>395</v>
      </c>
      <c r="J42" s="13" t="s">
        <v>396</v>
      </c>
      <c r="K42" s="13" t="s">
        <v>397</v>
      </c>
      <c r="L42" s="13" t="s">
        <v>89</v>
      </c>
      <c r="M42" s="13" t="s">
        <v>398</v>
      </c>
      <c r="N42" s="15">
        <v>46225.0</v>
      </c>
      <c r="O42" s="15">
        <v>46225.0</v>
      </c>
      <c r="P42" s="25" t="s">
        <v>399</v>
      </c>
      <c r="Q42" s="25">
        <v>1.0</v>
      </c>
      <c r="R42" s="25">
        <v>38.0</v>
      </c>
      <c r="S42" s="26" t="s">
        <v>400</v>
      </c>
      <c r="T42" s="26" t="s">
        <v>401</v>
      </c>
    </row>
    <row r="43" ht="15.75" customHeight="1">
      <c r="A43" s="24" t="s">
        <v>402</v>
      </c>
      <c r="B43" s="13" t="s">
        <v>403</v>
      </c>
      <c r="C43" s="13" t="s">
        <v>383</v>
      </c>
      <c r="D43" s="13" t="s">
        <v>44</v>
      </c>
      <c r="E43" s="13" t="s">
        <v>75</v>
      </c>
      <c r="F43" s="13" t="s">
        <v>48</v>
      </c>
      <c r="G43" s="13" t="s">
        <v>77</v>
      </c>
      <c r="H43" s="13" t="s">
        <v>404</v>
      </c>
      <c r="I43" s="13" t="s">
        <v>405</v>
      </c>
      <c r="J43" s="13" t="s">
        <v>406</v>
      </c>
      <c r="K43" s="13" t="s">
        <v>407</v>
      </c>
      <c r="L43" s="13" t="s">
        <v>124</v>
      </c>
      <c r="M43" s="13" t="s">
        <v>408</v>
      </c>
      <c r="N43" s="15">
        <v>46225.0</v>
      </c>
      <c r="O43" s="15">
        <v>46225.0</v>
      </c>
      <c r="P43" s="25" t="s">
        <v>409</v>
      </c>
      <c r="Q43" s="25">
        <v>1.0</v>
      </c>
      <c r="R43" s="25">
        <v>39.0</v>
      </c>
      <c r="S43" s="26" t="s">
        <v>410</v>
      </c>
      <c r="T43" s="26" t="s">
        <v>411</v>
      </c>
    </row>
    <row r="44" ht="15.75" customHeight="1">
      <c r="A44" s="24" t="s">
        <v>412</v>
      </c>
      <c r="B44" s="13" t="s">
        <v>413</v>
      </c>
      <c r="C44" s="13" t="s">
        <v>383</v>
      </c>
      <c r="D44" s="13" t="s">
        <v>190</v>
      </c>
      <c r="E44" s="13" t="s">
        <v>75</v>
      </c>
      <c r="F44" s="13" t="s">
        <v>48</v>
      </c>
      <c r="G44" s="13" t="s">
        <v>77</v>
      </c>
      <c r="H44" s="13" t="s">
        <v>414</v>
      </c>
      <c r="I44" s="13" t="s">
        <v>415</v>
      </c>
      <c r="J44" s="13" t="s">
        <v>416</v>
      </c>
      <c r="K44" s="13" t="s">
        <v>417</v>
      </c>
      <c r="L44" s="13" t="s">
        <v>124</v>
      </c>
      <c r="M44" s="13" t="s">
        <v>418</v>
      </c>
      <c r="N44" s="15">
        <v>46225.0</v>
      </c>
      <c r="O44" s="15">
        <v>46225.0</v>
      </c>
      <c r="P44" s="25" t="s">
        <v>419</v>
      </c>
      <c r="Q44" s="25">
        <v>1.0</v>
      </c>
      <c r="R44" s="25">
        <v>40.0</v>
      </c>
      <c r="S44" s="26" t="s">
        <v>420</v>
      </c>
      <c r="T44" s="26" t="s">
        <v>421</v>
      </c>
    </row>
    <row r="45" ht="15.75" customHeight="1">
      <c r="A45" s="24" t="s">
        <v>422</v>
      </c>
      <c r="B45" s="13" t="s">
        <v>423</v>
      </c>
      <c r="C45" s="13" t="s">
        <v>383</v>
      </c>
      <c r="D45" s="13" t="s">
        <v>74</v>
      </c>
      <c r="E45" s="13" t="s">
        <v>75</v>
      </c>
      <c r="F45" s="13" t="s">
        <v>103</v>
      </c>
      <c r="G45" s="13" t="s">
        <v>77</v>
      </c>
      <c r="H45" s="13" t="s">
        <v>424</v>
      </c>
      <c r="I45" s="13" t="s">
        <v>425</v>
      </c>
      <c r="J45" s="13" t="s">
        <v>426</v>
      </c>
      <c r="K45" s="13" t="s">
        <v>427</v>
      </c>
      <c r="L45" s="13" t="s">
        <v>356</v>
      </c>
      <c r="M45" s="13" t="s">
        <v>428</v>
      </c>
      <c r="N45" s="15">
        <v>46225.0</v>
      </c>
      <c r="O45" s="15">
        <v>46225.0</v>
      </c>
      <c r="P45" s="25" t="s">
        <v>429</v>
      </c>
      <c r="Q45" s="25">
        <v>1.0</v>
      </c>
      <c r="R45" s="25">
        <v>41.0</v>
      </c>
      <c r="S45" s="26" t="s">
        <v>430</v>
      </c>
      <c r="T45" s="26" t="s">
        <v>431</v>
      </c>
    </row>
    <row r="46" ht="15.75" customHeight="1">
      <c r="A46" s="24" t="s">
        <v>432</v>
      </c>
      <c r="B46" s="13" t="s">
        <v>433</v>
      </c>
      <c r="C46" s="13" t="s">
        <v>383</v>
      </c>
      <c r="D46" s="13" t="s">
        <v>74</v>
      </c>
      <c r="E46" s="13" t="s">
        <v>75</v>
      </c>
      <c r="F46" s="13" t="s">
        <v>48</v>
      </c>
      <c r="G46" s="13" t="s">
        <v>77</v>
      </c>
      <c r="H46" s="13" t="s">
        <v>434</v>
      </c>
      <c r="I46" s="13" t="s">
        <v>435</v>
      </c>
      <c r="J46" s="13" t="s">
        <v>436</v>
      </c>
      <c r="K46" s="13" t="s">
        <v>437</v>
      </c>
      <c r="L46" s="13" t="s">
        <v>229</v>
      </c>
      <c r="M46" s="13" t="s">
        <v>438</v>
      </c>
      <c r="N46" s="15">
        <v>46225.0</v>
      </c>
      <c r="O46" s="15">
        <v>46225.0</v>
      </c>
      <c r="P46" s="25" t="s">
        <v>439</v>
      </c>
      <c r="Q46" s="25">
        <v>1.0</v>
      </c>
      <c r="R46" s="25">
        <v>42.0</v>
      </c>
      <c r="S46" s="26" t="s">
        <v>440</v>
      </c>
      <c r="T46" s="26" t="s">
        <v>441</v>
      </c>
    </row>
    <row r="47" ht="15.75" customHeight="1">
      <c r="A47" s="24" t="s">
        <v>442</v>
      </c>
      <c r="B47" s="13" t="s">
        <v>443</v>
      </c>
      <c r="C47" s="13" t="s">
        <v>383</v>
      </c>
      <c r="D47" s="13" t="s">
        <v>74</v>
      </c>
      <c r="E47" s="13" t="s">
        <v>75</v>
      </c>
      <c r="F47" s="13" t="s">
        <v>76</v>
      </c>
      <c r="G47" s="13" t="s">
        <v>77</v>
      </c>
      <c r="H47" s="13" t="s">
        <v>444</v>
      </c>
      <c r="I47" s="13" t="s">
        <v>445</v>
      </c>
      <c r="J47" s="13" t="s">
        <v>446</v>
      </c>
      <c r="K47" s="13" t="s">
        <v>447</v>
      </c>
      <c r="L47" s="13" t="s">
        <v>229</v>
      </c>
      <c r="M47" s="13" t="s">
        <v>448</v>
      </c>
      <c r="N47" s="15">
        <v>46225.0</v>
      </c>
      <c r="O47" s="15">
        <v>46225.0</v>
      </c>
      <c r="P47" s="25" t="s">
        <v>449</v>
      </c>
      <c r="Q47" s="25">
        <v>1.0</v>
      </c>
      <c r="R47" s="25">
        <v>43.0</v>
      </c>
      <c r="S47" s="26" t="s">
        <v>450</v>
      </c>
      <c r="T47" s="26" t="s">
        <v>451</v>
      </c>
    </row>
    <row r="48" ht="15.75" customHeight="1">
      <c r="A48" s="24" t="s">
        <v>452</v>
      </c>
      <c r="B48" s="13" t="s">
        <v>453</v>
      </c>
      <c r="C48" s="13" t="s">
        <v>383</v>
      </c>
      <c r="D48" s="13" t="s">
        <v>74</v>
      </c>
      <c r="E48" s="13" t="s">
        <v>75</v>
      </c>
      <c r="F48" s="13" t="s">
        <v>48</v>
      </c>
      <c r="G48" s="13" t="s">
        <v>77</v>
      </c>
      <c r="H48" s="13" t="s">
        <v>454</v>
      </c>
      <c r="I48" s="13" t="s">
        <v>455</v>
      </c>
      <c r="J48" s="13" t="s">
        <v>456</v>
      </c>
      <c r="K48" s="13" t="s">
        <v>457</v>
      </c>
      <c r="L48" s="13" t="s">
        <v>229</v>
      </c>
      <c r="M48" s="13" t="s">
        <v>458</v>
      </c>
      <c r="N48" s="15">
        <v>46225.0</v>
      </c>
      <c r="O48" s="15">
        <v>46225.0</v>
      </c>
      <c r="P48" s="25" t="s">
        <v>459</v>
      </c>
      <c r="Q48" s="25">
        <v>1.0</v>
      </c>
      <c r="R48" s="25">
        <v>44.0</v>
      </c>
      <c r="S48" s="26" t="s">
        <v>460</v>
      </c>
      <c r="T48" s="26" t="s">
        <v>461</v>
      </c>
    </row>
    <row r="49" ht="15.75" customHeight="1">
      <c r="A49" s="24" t="s">
        <v>462</v>
      </c>
      <c r="B49" s="13" t="s">
        <v>463</v>
      </c>
      <c r="C49" s="13" t="s">
        <v>383</v>
      </c>
      <c r="D49" s="13" t="s">
        <v>94</v>
      </c>
      <c r="E49" s="13" t="s">
        <v>75</v>
      </c>
      <c r="F49" s="13" t="s">
        <v>103</v>
      </c>
      <c r="G49" s="13" t="s">
        <v>77</v>
      </c>
      <c r="H49" s="13" t="s">
        <v>464</v>
      </c>
      <c r="I49" s="13" t="s">
        <v>465</v>
      </c>
      <c r="J49" s="13" t="s">
        <v>466</v>
      </c>
      <c r="K49" s="13" t="s">
        <v>467</v>
      </c>
      <c r="L49" s="13" t="s">
        <v>140</v>
      </c>
      <c r="M49" s="13" t="s">
        <v>468</v>
      </c>
      <c r="N49" s="15">
        <v>46225.0</v>
      </c>
      <c r="O49" s="15">
        <v>46225.0</v>
      </c>
      <c r="P49" s="25" t="s">
        <v>469</v>
      </c>
      <c r="Q49" s="25">
        <v>1.0</v>
      </c>
      <c r="R49" s="25">
        <v>45.0</v>
      </c>
      <c r="S49" s="26" t="s">
        <v>470</v>
      </c>
      <c r="T49" s="26" t="s">
        <v>471</v>
      </c>
    </row>
    <row r="50" ht="15.75" customHeight="1">
      <c r="A50" s="24" t="s">
        <v>472</v>
      </c>
      <c r="B50" s="13" t="s">
        <v>473</v>
      </c>
      <c r="C50" s="13" t="s">
        <v>383</v>
      </c>
      <c r="D50" s="13" t="s">
        <v>94</v>
      </c>
      <c r="E50" s="13" t="s">
        <v>75</v>
      </c>
      <c r="F50" s="13" t="s">
        <v>48</v>
      </c>
      <c r="G50" s="13" t="s">
        <v>51</v>
      </c>
      <c r="H50" s="13" t="s">
        <v>269</v>
      </c>
      <c r="I50" s="13" t="s">
        <v>474</v>
      </c>
      <c r="J50" s="13" t="s">
        <v>475</v>
      </c>
      <c r="K50" s="13" t="s">
        <v>476</v>
      </c>
      <c r="L50" s="13" t="s">
        <v>356</v>
      </c>
      <c r="M50" s="13" t="s">
        <v>477</v>
      </c>
      <c r="N50" s="15">
        <v>46225.0</v>
      </c>
      <c r="O50" s="15">
        <v>46225.0</v>
      </c>
      <c r="P50" s="25" t="s">
        <v>478</v>
      </c>
      <c r="Q50" s="25">
        <v>1.0</v>
      </c>
      <c r="R50" s="25">
        <v>46.0</v>
      </c>
      <c r="S50" s="26" t="s">
        <v>479</v>
      </c>
      <c r="T50" s="26" t="s">
        <v>480</v>
      </c>
    </row>
    <row r="51" ht="15.75" customHeight="1">
      <c r="A51" s="24" t="s">
        <v>481</v>
      </c>
      <c r="B51" s="13" t="s">
        <v>482</v>
      </c>
      <c r="C51" s="13" t="s">
        <v>383</v>
      </c>
      <c r="D51" s="13" t="s">
        <v>74</v>
      </c>
      <c r="E51" s="13" t="s">
        <v>75</v>
      </c>
      <c r="F51" s="13" t="s">
        <v>103</v>
      </c>
      <c r="G51" s="13" t="s">
        <v>51</v>
      </c>
      <c r="H51" s="13" t="s">
        <v>483</v>
      </c>
      <c r="I51" s="13" t="s">
        <v>484</v>
      </c>
      <c r="J51" s="13" t="s">
        <v>485</v>
      </c>
      <c r="K51" s="13" t="s">
        <v>486</v>
      </c>
      <c r="L51" s="13" t="s">
        <v>89</v>
      </c>
      <c r="M51" s="13" t="s">
        <v>487</v>
      </c>
      <c r="N51" s="15">
        <v>46225.0</v>
      </c>
      <c r="O51" s="15">
        <v>46225.0</v>
      </c>
      <c r="P51" s="25" t="s">
        <v>488</v>
      </c>
      <c r="Q51" s="25">
        <v>1.0</v>
      </c>
      <c r="R51" s="25">
        <v>47.0</v>
      </c>
      <c r="S51" s="26" t="s">
        <v>489</v>
      </c>
      <c r="T51" s="26" t="s">
        <v>490</v>
      </c>
    </row>
    <row r="52" ht="15.75" customHeight="1">
      <c r="A52" s="24" t="s">
        <v>491</v>
      </c>
      <c r="B52" s="13" t="s">
        <v>492</v>
      </c>
      <c r="C52" s="13" t="s">
        <v>383</v>
      </c>
      <c r="D52" s="13" t="s">
        <v>44</v>
      </c>
      <c r="E52" s="13" t="s">
        <v>75</v>
      </c>
      <c r="F52" s="13" t="s">
        <v>103</v>
      </c>
      <c r="G52" s="13" t="s">
        <v>51</v>
      </c>
      <c r="H52" s="13" t="s">
        <v>493</v>
      </c>
      <c r="I52" s="13" t="s">
        <v>494</v>
      </c>
      <c r="J52" s="13" t="s">
        <v>495</v>
      </c>
      <c r="K52" s="13" t="s">
        <v>496</v>
      </c>
      <c r="L52" s="13" t="s">
        <v>124</v>
      </c>
      <c r="M52" s="13" t="s">
        <v>497</v>
      </c>
      <c r="N52" s="15">
        <v>46225.0</v>
      </c>
      <c r="O52" s="15">
        <v>46225.0</v>
      </c>
      <c r="P52" s="25" t="s">
        <v>498</v>
      </c>
      <c r="Q52" s="25">
        <v>1.0</v>
      </c>
      <c r="R52" s="25">
        <v>48.0</v>
      </c>
      <c r="S52" s="26" t="s">
        <v>499</v>
      </c>
      <c r="T52" s="26" t="s">
        <v>500</v>
      </c>
    </row>
    <row r="53" ht="15.75" customHeight="1">
      <c r="A53" s="24" t="s">
        <v>501</v>
      </c>
      <c r="B53" s="13" t="s">
        <v>502</v>
      </c>
      <c r="C53" s="13" t="s">
        <v>383</v>
      </c>
      <c r="D53" s="13" t="s">
        <v>74</v>
      </c>
      <c r="E53" s="13" t="s">
        <v>75</v>
      </c>
      <c r="F53" s="13" t="s">
        <v>103</v>
      </c>
      <c r="G53" s="13" t="s">
        <v>77</v>
      </c>
      <c r="H53" s="13" t="s">
        <v>503</v>
      </c>
      <c r="I53" s="13" t="s">
        <v>504</v>
      </c>
      <c r="J53" s="13" t="s">
        <v>505</v>
      </c>
      <c r="K53" s="13" t="s">
        <v>506</v>
      </c>
      <c r="L53" s="13" t="s">
        <v>356</v>
      </c>
      <c r="M53" s="13" t="s">
        <v>507</v>
      </c>
      <c r="N53" s="15">
        <v>46225.0</v>
      </c>
      <c r="O53" s="15">
        <v>46225.0</v>
      </c>
      <c r="P53" s="25" t="s">
        <v>508</v>
      </c>
      <c r="Q53" s="25">
        <v>1.0</v>
      </c>
      <c r="R53" s="25">
        <v>49.0</v>
      </c>
      <c r="S53" s="26" t="s">
        <v>509</v>
      </c>
      <c r="T53" s="26" t="s">
        <v>510</v>
      </c>
    </row>
    <row r="54" ht="15.75" customHeight="1">
      <c r="A54" s="10" t="str">
        <f t="shared" ref="A54:A101" si="7">"CP"&amp;TEXT(ROW()-1,"000")</f>
        <v>CP053</v>
      </c>
      <c r="B54" s="13" t="s">
        <v>511</v>
      </c>
      <c r="C54" s="13" t="s">
        <v>512</v>
      </c>
      <c r="D54" s="13" t="s">
        <v>94</v>
      </c>
      <c r="E54" s="13" t="s">
        <v>75</v>
      </c>
      <c r="F54" s="13" t="s">
        <v>103</v>
      </c>
      <c r="G54" s="13" t="s">
        <v>51</v>
      </c>
      <c r="H54" s="13" t="s">
        <v>513</v>
      </c>
      <c r="I54" s="13" t="s">
        <v>54</v>
      </c>
      <c r="J54" s="13" t="s">
        <v>514</v>
      </c>
      <c r="K54" s="13" t="s">
        <v>515</v>
      </c>
      <c r="L54" s="13" t="s">
        <v>89</v>
      </c>
      <c r="M54" s="13" t="s">
        <v>516</v>
      </c>
      <c r="N54" s="15">
        <v>46227.0</v>
      </c>
      <c r="O54" s="15">
        <v>46241.0</v>
      </c>
      <c r="P54" s="12" t="str">
        <f t="shared" ref="P54:P101" si="8">IF(L54="","",C54&amp;"|"&amp;D54&amp;"|"&amp;H54&amp;"|"&amp;I54&amp;"|"&amp;L54)</f>
        <v>수면|정보제공|수면개선희망자|앱단독|Freemium(프리미엄)</v>
      </c>
      <c r="Q54" s="12">
        <f t="shared" ref="Q54:Q101" si="9">IF(P54="",0,IF(COUNTIF($P$2:P54,P54)=1,1,0))</f>
        <v>1</v>
      </c>
      <c r="R54" s="12">
        <f t="shared" ref="R54:R101" si="10">IF(Q54=1,SUM($Q$2:Q54),"")</f>
        <v>49</v>
      </c>
      <c r="S54" s="26" t="s">
        <v>517</v>
      </c>
      <c r="T54" s="26" t="s">
        <v>518</v>
      </c>
    </row>
    <row r="55" ht="15.75" customHeight="1">
      <c r="A55" s="10" t="str">
        <f t="shared" si="7"/>
        <v>CP054</v>
      </c>
      <c r="B55" s="13" t="s">
        <v>519</v>
      </c>
      <c r="C55" s="13" t="s">
        <v>512</v>
      </c>
      <c r="D55" s="13" t="s">
        <v>44</v>
      </c>
      <c r="E55" s="13" t="s">
        <v>75</v>
      </c>
      <c r="F55" s="13" t="s">
        <v>48</v>
      </c>
      <c r="G55" s="13" t="s">
        <v>51</v>
      </c>
      <c r="H55" s="13" t="s">
        <v>520</v>
      </c>
      <c r="I55" s="13" t="s">
        <v>54</v>
      </c>
      <c r="J55" s="13" t="s">
        <v>521</v>
      </c>
      <c r="K55" s="13" t="s">
        <v>522</v>
      </c>
      <c r="L55" s="13" t="s">
        <v>124</v>
      </c>
      <c r="M55" s="13" t="s">
        <v>523</v>
      </c>
      <c r="N55" s="15">
        <v>46227.0</v>
      </c>
      <c r="O55" s="15">
        <v>46241.0</v>
      </c>
      <c r="P55" s="12" t="str">
        <f t="shared" si="8"/>
        <v>수면|개입치료|불면증환자|앱단독|Subscription(구독형)</v>
      </c>
      <c r="Q55" s="12">
        <f t="shared" si="9"/>
        <v>1</v>
      </c>
      <c r="R55" s="12">
        <f t="shared" si="10"/>
        <v>50</v>
      </c>
      <c r="S55" s="26" t="s">
        <v>524</v>
      </c>
      <c r="T55" s="26" t="s">
        <v>525</v>
      </c>
    </row>
    <row r="56" ht="15.75" customHeight="1">
      <c r="A56" s="10" t="str">
        <f t="shared" si="7"/>
        <v>CP055</v>
      </c>
      <c r="B56" s="13" t="s">
        <v>526</v>
      </c>
      <c r="C56" s="13" t="s">
        <v>512</v>
      </c>
      <c r="D56" s="13" t="s">
        <v>94</v>
      </c>
      <c r="E56" s="13" t="s">
        <v>75</v>
      </c>
      <c r="F56" s="13" t="s">
        <v>103</v>
      </c>
      <c r="G56" s="13" t="s">
        <v>51</v>
      </c>
      <c r="H56" s="13" t="s">
        <v>78</v>
      </c>
      <c r="I56" s="13" t="s">
        <v>54</v>
      </c>
      <c r="J56" s="13" t="s">
        <v>527</v>
      </c>
      <c r="K56" s="13" t="s">
        <v>528</v>
      </c>
      <c r="L56" s="13" t="s">
        <v>124</v>
      </c>
      <c r="M56" s="13" t="s">
        <v>529</v>
      </c>
      <c r="N56" s="15">
        <v>46227.0</v>
      </c>
      <c r="O56" s="15">
        <v>46241.0</v>
      </c>
      <c r="P56" s="12" t="str">
        <f t="shared" si="8"/>
        <v>수면|정보제공|전연령|앱단독|Subscription(구독형)</v>
      </c>
      <c r="Q56" s="12">
        <f t="shared" si="9"/>
        <v>1</v>
      </c>
      <c r="R56" s="12">
        <f t="shared" si="10"/>
        <v>51</v>
      </c>
      <c r="S56" s="26" t="s">
        <v>530</v>
      </c>
      <c r="T56" s="26" t="s">
        <v>531</v>
      </c>
    </row>
    <row r="57" ht="15.75" customHeight="1">
      <c r="A57" s="10" t="str">
        <f t="shared" si="7"/>
        <v>CP056</v>
      </c>
      <c r="B57" s="13" t="s">
        <v>532</v>
      </c>
      <c r="C57" s="13" t="s">
        <v>512</v>
      </c>
      <c r="D57" s="13" t="s">
        <v>94</v>
      </c>
      <c r="E57" s="13" t="s">
        <v>75</v>
      </c>
      <c r="F57" s="13" t="s">
        <v>103</v>
      </c>
      <c r="G57" s="13" t="s">
        <v>51</v>
      </c>
      <c r="H57" s="13" t="s">
        <v>78</v>
      </c>
      <c r="I57" s="13" t="s">
        <v>54</v>
      </c>
      <c r="J57" s="13" t="s">
        <v>533</v>
      </c>
      <c r="K57" s="13" t="s">
        <v>534</v>
      </c>
      <c r="L57" s="13" t="s">
        <v>89</v>
      </c>
      <c r="M57" s="13" t="s">
        <v>535</v>
      </c>
      <c r="N57" s="15">
        <v>46227.0</v>
      </c>
      <c r="O57" s="15">
        <v>46241.0</v>
      </c>
      <c r="P57" s="12" t="str">
        <f t="shared" si="8"/>
        <v>수면|정보제공|전연령|앱단독|Freemium(프리미엄)</v>
      </c>
      <c r="Q57" s="12">
        <f t="shared" si="9"/>
        <v>1</v>
      </c>
      <c r="R57" s="12">
        <f t="shared" si="10"/>
        <v>52</v>
      </c>
      <c r="S57" s="26" t="s">
        <v>536</v>
      </c>
      <c r="T57" s="26" t="s">
        <v>537</v>
      </c>
    </row>
    <row r="58" ht="15.75" customHeight="1">
      <c r="A58" s="10" t="str">
        <f t="shared" si="7"/>
        <v>CP057</v>
      </c>
      <c r="B58" s="13" t="s">
        <v>538</v>
      </c>
      <c r="C58" s="13" t="s">
        <v>512</v>
      </c>
      <c r="D58" s="13" t="s">
        <v>74</v>
      </c>
      <c r="E58" s="13" t="s">
        <v>75</v>
      </c>
      <c r="F58" s="13" t="s">
        <v>48</v>
      </c>
      <c r="G58" s="13" t="s">
        <v>77</v>
      </c>
      <c r="H58" s="13" t="s">
        <v>539</v>
      </c>
      <c r="I58" s="13" t="s">
        <v>540</v>
      </c>
      <c r="J58" s="13" t="s">
        <v>541</v>
      </c>
      <c r="K58" s="13" t="s">
        <v>542</v>
      </c>
      <c r="L58" s="13" t="s">
        <v>229</v>
      </c>
      <c r="M58" s="13" t="s">
        <v>543</v>
      </c>
      <c r="N58" s="15">
        <v>46227.0</v>
      </c>
      <c r="O58" s="15">
        <v>46241.0</v>
      </c>
      <c r="P58" s="12" t="str">
        <f t="shared" si="8"/>
        <v>수면|데이터기록관리|B2B파트너, 개인|기기연동|Sensor As A Service(센서서비스)</v>
      </c>
      <c r="Q58" s="12">
        <f t="shared" si="9"/>
        <v>1</v>
      </c>
      <c r="R58" s="12">
        <f t="shared" si="10"/>
        <v>53</v>
      </c>
      <c r="S58" s="26" t="s">
        <v>544</v>
      </c>
      <c r="T58" s="26" t="s">
        <v>545</v>
      </c>
    </row>
    <row r="59" ht="15.75" customHeight="1">
      <c r="A59" s="10" t="str">
        <f t="shared" si="7"/>
        <v>CP058</v>
      </c>
      <c r="B59" s="13" t="s">
        <v>546</v>
      </c>
      <c r="C59" s="13" t="s">
        <v>512</v>
      </c>
      <c r="D59" s="13" t="s">
        <v>94</v>
      </c>
      <c r="E59" s="13" t="s">
        <v>75</v>
      </c>
      <c r="F59" s="13" t="s">
        <v>103</v>
      </c>
      <c r="G59" s="13" t="s">
        <v>51</v>
      </c>
      <c r="H59" s="13" t="s">
        <v>547</v>
      </c>
      <c r="I59" s="13" t="s">
        <v>54</v>
      </c>
      <c r="J59" s="13" t="s">
        <v>548</v>
      </c>
      <c r="K59" s="13" t="s">
        <v>549</v>
      </c>
      <c r="L59" s="13" t="s">
        <v>89</v>
      </c>
      <c r="M59" s="13" t="s">
        <v>550</v>
      </c>
      <c r="N59" s="15">
        <v>46227.0</v>
      </c>
      <c r="O59" s="15">
        <v>46241.0</v>
      </c>
      <c r="P59" s="12" t="str">
        <f t="shared" si="8"/>
        <v>수면|정보제공|불규칙수면자, 건강관심층|앱단독|Freemium(프리미엄)</v>
      </c>
      <c r="Q59" s="12">
        <f t="shared" si="9"/>
        <v>1</v>
      </c>
      <c r="R59" s="12">
        <f t="shared" si="10"/>
        <v>54</v>
      </c>
      <c r="S59" s="26" t="s">
        <v>551</v>
      </c>
      <c r="T59" s="26" t="s">
        <v>552</v>
      </c>
    </row>
    <row r="60" ht="15.75" customHeight="1">
      <c r="A60" s="10" t="str">
        <f t="shared" si="7"/>
        <v>CP059</v>
      </c>
      <c r="B60" s="13" t="s">
        <v>72</v>
      </c>
      <c r="C60" s="13" t="s">
        <v>512</v>
      </c>
      <c r="D60" s="13" t="s">
        <v>74</v>
      </c>
      <c r="E60" s="13" t="s">
        <v>75</v>
      </c>
      <c r="F60" s="13" t="s">
        <v>76</v>
      </c>
      <c r="G60" s="13" t="s">
        <v>77</v>
      </c>
      <c r="H60" s="13" t="s">
        <v>279</v>
      </c>
      <c r="I60" s="13" t="s">
        <v>79</v>
      </c>
      <c r="J60" s="13" t="s">
        <v>553</v>
      </c>
      <c r="K60" s="13" t="s">
        <v>554</v>
      </c>
      <c r="L60" s="13" t="s">
        <v>555</v>
      </c>
      <c r="M60" s="13" t="s">
        <v>556</v>
      </c>
      <c r="N60" s="15">
        <v>46227.0</v>
      </c>
      <c r="O60" s="15">
        <v>46241.0</v>
      </c>
      <c r="P60" s="12" t="str">
        <f t="shared" si="8"/>
        <v>수면|데이터기록관리|개인|웨어러블연동|Lock-in(락인)</v>
      </c>
      <c r="Q60" s="12">
        <f t="shared" si="9"/>
        <v>1</v>
      </c>
      <c r="R60" s="12">
        <f t="shared" si="10"/>
        <v>55</v>
      </c>
      <c r="S60" s="26" t="s">
        <v>557</v>
      </c>
      <c r="T60" s="26" t="s">
        <v>558</v>
      </c>
    </row>
    <row r="61" ht="15.75" customHeight="1">
      <c r="A61" s="10" t="str">
        <f t="shared" si="7"/>
        <v>CP060</v>
      </c>
      <c r="B61" s="13" t="s">
        <v>559</v>
      </c>
      <c r="C61" s="13" t="s">
        <v>512</v>
      </c>
      <c r="D61" s="13" t="s">
        <v>74</v>
      </c>
      <c r="E61" s="13" t="s">
        <v>75</v>
      </c>
      <c r="F61" s="13" t="s">
        <v>103</v>
      </c>
      <c r="G61" s="13" t="s">
        <v>77</v>
      </c>
      <c r="H61" s="13" t="s">
        <v>560</v>
      </c>
      <c r="I61" s="13" t="s">
        <v>79</v>
      </c>
      <c r="J61" s="13" t="s">
        <v>561</v>
      </c>
      <c r="K61" s="13" t="s">
        <v>562</v>
      </c>
      <c r="L61" s="13" t="s">
        <v>555</v>
      </c>
      <c r="M61" s="13" t="s">
        <v>563</v>
      </c>
      <c r="N61" s="15">
        <v>46227.0</v>
      </c>
      <c r="O61" s="15">
        <v>46241.0</v>
      </c>
      <c r="P61" s="12" t="str">
        <f t="shared" si="8"/>
        <v>수면|데이터기록관리|보험연계 건강관리대상자|웨어러블연동|Lock-in(락인)</v>
      </c>
      <c r="Q61" s="12">
        <f t="shared" si="9"/>
        <v>1</v>
      </c>
      <c r="R61" s="12">
        <f t="shared" si="10"/>
        <v>56</v>
      </c>
      <c r="S61" s="26" t="s">
        <v>564</v>
      </c>
      <c r="T61" s="26" t="s">
        <v>518</v>
      </c>
    </row>
    <row r="62" ht="15.75" customHeight="1">
      <c r="A62" s="10" t="str">
        <f t="shared" si="7"/>
        <v>CP061</v>
      </c>
      <c r="B62" s="13" t="s">
        <v>565</v>
      </c>
      <c r="C62" s="13" t="s">
        <v>512</v>
      </c>
      <c r="D62" s="13" t="s">
        <v>94</v>
      </c>
      <c r="E62" s="13" t="s">
        <v>75</v>
      </c>
      <c r="F62" s="13" t="s">
        <v>103</v>
      </c>
      <c r="G62" s="13" t="s">
        <v>51</v>
      </c>
      <c r="H62" s="13" t="s">
        <v>566</v>
      </c>
      <c r="I62" s="13" t="s">
        <v>54</v>
      </c>
      <c r="J62" s="13" t="s">
        <v>567</v>
      </c>
      <c r="K62" s="13" t="s">
        <v>568</v>
      </c>
      <c r="L62" s="13" t="s">
        <v>89</v>
      </c>
      <c r="M62" s="13" t="s">
        <v>569</v>
      </c>
      <c r="N62" s="15">
        <v>46227.0</v>
      </c>
      <c r="O62" s="15">
        <v>46241.0</v>
      </c>
      <c r="P62" s="12" t="str">
        <f t="shared" si="8"/>
        <v>수면|정보제공|피로회복희망자|앱단독|Freemium(프리미엄)</v>
      </c>
      <c r="Q62" s="12">
        <f t="shared" si="9"/>
        <v>1</v>
      </c>
      <c r="R62" s="12">
        <f t="shared" si="10"/>
        <v>57</v>
      </c>
      <c r="S62" s="26" t="s">
        <v>570</v>
      </c>
      <c r="T62" s="26" t="s">
        <v>571</v>
      </c>
    </row>
    <row r="63" ht="15.75" customHeight="1">
      <c r="A63" s="10" t="str">
        <f t="shared" si="7"/>
        <v>CP062</v>
      </c>
      <c r="B63" s="13" t="s">
        <v>297</v>
      </c>
      <c r="C63" s="13" t="s">
        <v>512</v>
      </c>
      <c r="D63" s="13" t="s">
        <v>94</v>
      </c>
      <c r="E63" s="13" t="s">
        <v>75</v>
      </c>
      <c r="F63" s="13" t="s">
        <v>103</v>
      </c>
      <c r="G63" s="13" t="s">
        <v>51</v>
      </c>
      <c r="H63" s="13" t="s">
        <v>572</v>
      </c>
      <c r="I63" s="13" t="s">
        <v>54</v>
      </c>
      <c r="J63" s="13" t="s">
        <v>573</v>
      </c>
      <c r="K63" s="26" t="s">
        <v>574</v>
      </c>
      <c r="L63" s="13" t="s">
        <v>124</v>
      </c>
      <c r="M63" s="13" t="s">
        <v>575</v>
      </c>
      <c r="N63" s="15">
        <v>46227.0</v>
      </c>
      <c r="O63" s="15">
        <v>46227.0</v>
      </c>
      <c r="P63" s="12" t="str">
        <f t="shared" si="8"/>
        <v>수면|정보제공|명상,ASMR선호자|앱단독|Subscription(구독형)</v>
      </c>
      <c r="Q63" s="12">
        <f t="shared" si="9"/>
        <v>1</v>
      </c>
      <c r="R63" s="12">
        <f t="shared" si="10"/>
        <v>58</v>
      </c>
      <c r="S63" s="26" t="s">
        <v>576</v>
      </c>
      <c r="T63" s="26" t="s">
        <v>577</v>
      </c>
    </row>
    <row r="64" ht="15.75" customHeight="1">
      <c r="A64" s="10" t="str">
        <f t="shared" si="7"/>
        <v>CP063</v>
      </c>
      <c r="B64" s="13" t="s">
        <v>578</v>
      </c>
      <c r="C64" s="13" t="s">
        <v>512</v>
      </c>
      <c r="D64" s="13" t="s">
        <v>74</v>
      </c>
      <c r="E64" s="13" t="s">
        <v>75</v>
      </c>
      <c r="F64" s="13" t="s">
        <v>103</v>
      </c>
      <c r="G64" s="13" t="s">
        <v>51</v>
      </c>
      <c r="H64" s="13" t="s">
        <v>279</v>
      </c>
      <c r="I64" s="13" t="s">
        <v>54</v>
      </c>
      <c r="J64" s="13" t="s">
        <v>579</v>
      </c>
      <c r="K64" s="13" t="s">
        <v>580</v>
      </c>
      <c r="L64" s="13" t="s">
        <v>124</v>
      </c>
      <c r="M64" s="13" t="s">
        <v>581</v>
      </c>
      <c r="N64" s="15">
        <v>46227.0</v>
      </c>
      <c r="O64" s="15">
        <v>46241.0</v>
      </c>
      <c r="P64" s="12" t="str">
        <f t="shared" si="8"/>
        <v>수면|데이터기록관리|개인|앱단독|Subscription(구독형)</v>
      </c>
      <c r="Q64" s="12">
        <f t="shared" si="9"/>
        <v>1</v>
      </c>
      <c r="R64" s="12">
        <f t="shared" si="10"/>
        <v>59</v>
      </c>
      <c r="S64" s="26" t="s">
        <v>582</v>
      </c>
      <c r="T64" s="26" t="s">
        <v>583</v>
      </c>
    </row>
    <row r="65" ht="15.75" customHeight="1">
      <c r="A65" s="10" t="str">
        <f t="shared" si="7"/>
        <v>CP064</v>
      </c>
      <c r="B65" s="13" t="s">
        <v>584</v>
      </c>
      <c r="C65" s="13" t="s">
        <v>512</v>
      </c>
      <c r="D65" s="13" t="s">
        <v>74</v>
      </c>
      <c r="E65" s="13" t="s">
        <v>75</v>
      </c>
      <c r="F65" s="13" t="s">
        <v>103</v>
      </c>
      <c r="G65" s="13" t="s">
        <v>51</v>
      </c>
      <c r="H65" s="13" t="s">
        <v>585</v>
      </c>
      <c r="I65" s="13" t="s">
        <v>54</v>
      </c>
      <c r="J65" s="13" t="s">
        <v>586</v>
      </c>
      <c r="K65" s="13" t="s">
        <v>587</v>
      </c>
      <c r="L65" s="13" t="s">
        <v>89</v>
      </c>
      <c r="M65" s="14"/>
      <c r="N65" s="15">
        <v>46227.0</v>
      </c>
      <c r="O65" s="15">
        <v>46241.0</v>
      </c>
      <c r="P65" s="12" t="str">
        <f t="shared" si="8"/>
        <v>수면|데이터기록관리|코골이기록희망자, 건강관심층|앱단독|Freemium(프리미엄)</v>
      </c>
      <c r="Q65" s="12">
        <f t="shared" si="9"/>
        <v>1</v>
      </c>
      <c r="R65" s="12">
        <f t="shared" si="10"/>
        <v>60</v>
      </c>
      <c r="S65" s="26" t="s">
        <v>588</v>
      </c>
      <c r="T65" s="26" t="s">
        <v>589</v>
      </c>
    </row>
    <row r="66" ht="15.75" customHeight="1">
      <c r="A66" s="10" t="str">
        <f t="shared" si="7"/>
        <v>CP065</v>
      </c>
      <c r="B66" s="13" t="s">
        <v>590</v>
      </c>
      <c r="C66" s="13" t="s">
        <v>512</v>
      </c>
      <c r="D66" s="13" t="s">
        <v>74</v>
      </c>
      <c r="E66" s="13" t="s">
        <v>591</v>
      </c>
      <c r="F66" s="13" t="s">
        <v>48</v>
      </c>
      <c r="G66" s="13" t="s">
        <v>77</v>
      </c>
      <c r="H66" s="13" t="s">
        <v>592</v>
      </c>
      <c r="I66" s="13" t="s">
        <v>79</v>
      </c>
      <c r="J66" s="13" t="s">
        <v>593</v>
      </c>
      <c r="K66" s="14"/>
      <c r="L66" s="13" t="s">
        <v>133</v>
      </c>
      <c r="M66" s="13" t="s">
        <v>594</v>
      </c>
      <c r="N66" s="15">
        <v>46227.0</v>
      </c>
      <c r="O66" s="15">
        <v>46241.0</v>
      </c>
      <c r="P66" s="12" t="str">
        <f t="shared" si="8"/>
        <v>수면|데이터기록관리|애플워치 사용자|웨어러블연동|Add-on(애드온)</v>
      </c>
      <c r="Q66" s="12">
        <f t="shared" si="9"/>
        <v>1</v>
      </c>
      <c r="R66" s="12">
        <f t="shared" si="10"/>
        <v>61</v>
      </c>
      <c r="S66" s="26" t="s">
        <v>595</v>
      </c>
      <c r="T66" s="26" t="s">
        <v>596</v>
      </c>
    </row>
    <row r="67" ht="15.75" customHeight="1">
      <c r="A67" s="10" t="str">
        <f t="shared" si="7"/>
        <v>CP066</v>
      </c>
      <c r="B67" s="23" t="s">
        <v>597</v>
      </c>
      <c r="C67" s="23" t="s">
        <v>512</v>
      </c>
      <c r="D67" s="23" t="s">
        <v>94</v>
      </c>
      <c r="E67" s="23" t="s">
        <v>75</v>
      </c>
      <c r="F67" s="23" t="s">
        <v>103</v>
      </c>
      <c r="G67" s="23" t="s">
        <v>51</v>
      </c>
      <c r="H67" s="23" t="s">
        <v>598</v>
      </c>
      <c r="I67" s="23" t="s">
        <v>54</v>
      </c>
      <c r="J67" s="23" t="s">
        <v>599</v>
      </c>
      <c r="K67" s="23" t="s">
        <v>600</v>
      </c>
      <c r="L67" s="20" t="s">
        <v>124</v>
      </c>
      <c r="M67" s="23" t="s">
        <v>601</v>
      </c>
      <c r="N67" s="15">
        <v>46227.0</v>
      </c>
      <c r="O67" s="15">
        <v>46241.0</v>
      </c>
      <c r="P67" s="12" t="str">
        <f t="shared" si="8"/>
        <v>수면|정보제공|직장인, 스트레스관심층|앱단독|Subscription(구독형)</v>
      </c>
      <c r="Q67" s="12">
        <f t="shared" si="9"/>
        <v>1</v>
      </c>
      <c r="R67" s="12">
        <f t="shared" si="10"/>
        <v>62</v>
      </c>
      <c r="S67" s="26" t="s">
        <v>602</v>
      </c>
      <c r="T67" s="26" t="s">
        <v>603</v>
      </c>
    </row>
    <row r="68" ht="15.75" customHeight="1">
      <c r="A68" s="10" t="str">
        <f t="shared" si="7"/>
        <v>CP067</v>
      </c>
      <c r="B68" s="22" t="s">
        <v>604</v>
      </c>
      <c r="C68" s="19" t="s">
        <v>512</v>
      </c>
      <c r="D68" s="19" t="s">
        <v>74</v>
      </c>
      <c r="E68" s="19" t="s">
        <v>75</v>
      </c>
      <c r="F68" s="19" t="s">
        <v>103</v>
      </c>
      <c r="G68" s="19" t="s">
        <v>51</v>
      </c>
      <c r="H68" s="19" t="s">
        <v>605</v>
      </c>
      <c r="I68" s="19" t="s">
        <v>54</v>
      </c>
      <c r="J68" s="19" t="s">
        <v>606</v>
      </c>
      <c r="K68" s="19" t="s">
        <v>607</v>
      </c>
      <c r="L68" s="20" t="s">
        <v>140</v>
      </c>
      <c r="M68" s="20" t="s">
        <v>608</v>
      </c>
      <c r="N68" s="15">
        <v>46227.0</v>
      </c>
      <c r="O68" s="15">
        <v>46227.0</v>
      </c>
      <c r="P68" s="12" t="str">
        <f t="shared" si="8"/>
        <v>수면|데이터기록관리|앱테크관심층|앱단독|Leverage Customer Data(데이터활용)</v>
      </c>
      <c r="Q68" s="12">
        <f t="shared" si="9"/>
        <v>1</v>
      </c>
      <c r="R68" s="12">
        <f t="shared" si="10"/>
        <v>63</v>
      </c>
      <c r="S68" s="26" t="s">
        <v>609</v>
      </c>
      <c r="T68" s="26" t="s">
        <v>610</v>
      </c>
    </row>
    <row r="69" ht="15.75" customHeight="1">
      <c r="A69" s="10" t="str">
        <f t="shared" si="7"/>
        <v>CP068</v>
      </c>
      <c r="B69" s="23" t="s">
        <v>611</v>
      </c>
      <c r="C69" s="19" t="s">
        <v>512</v>
      </c>
      <c r="D69" s="19" t="s">
        <v>190</v>
      </c>
      <c r="E69" s="19" t="s">
        <v>75</v>
      </c>
      <c r="F69" s="19" t="s">
        <v>103</v>
      </c>
      <c r="G69" s="19" t="s">
        <v>51</v>
      </c>
      <c r="H69" s="19" t="s">
        <v>513</v>
      </c>
      <c r="I69" s="19" t="s">
        <v>612</v>
      </c>
      <c r="J69" s="19" t="s">
        <v>613</v>
      </c>
      <c r="K69" s="19" t="s">
        <v>614</v>
      </c>
      <c r="L69" s="20" t="s">
        <v>555</v>
      </c>
      <c r="M69" s="23" t="s">
        <v>615</v>
      </c>
      <c r="N69" s="15">
        <v>46227.0</v>
      </c>
      <c r="O69" s="15">
        <v>46241.0</v>
      </c>
      <c r="P69" s="12" t="str">
        <f t="shared" si="8"/>
        <v>수면|매칭연결|수면개선희망자|오프라인결합|Lock-in(락인)</v>
      </c>
      <c r="Q69" s="12">
        <f t="shared" si="9"/>
        <v>1</v>
      </c>
      <c r="R69" s="12">
        <f t="shared" si="10"/>
        <v>64</v>
      </c>
      <c r="S69" s="26" t="s">
        <v>616</v>
      </c>
      <c r="T69" s="26" t="s">
        <v>617</v>
      </c>
    </row>
    <row r="70" ht="15.75" customHeight="1">
      <c r="A70" s="10" t="str">
        <f t="shared" si="7"/>
        <v>CP069</v>
      </c>
      <c r="B70" s="20" t="s">
        <v>618</v>
      </c>
      <c r="C70" s="19" t="s">
        <v>512</v>
      </c>
      <c r="D70" s="19" t="s">
        <v>74</v>
      </c>
      <c r="E70" s="19" t="s">
        <v>619</v>
      </c>
      <c r="F70" s="19" t="s">
        <v>103</v>
      </c>
      <c r="G70" s="19" t="s">
        <v>51</v>
      </c>
      <c r="H70" s="19" t="s">
        <v>620</v>
      </c>
      <c r="I70" s="19" t="s">
        <v>54</v>
      </c>
      <c r="J70" s="19" t="s">
        <v>621</v>
      </c>
      <c r="K70" s="19" t="s">
        <v>622</v>
      </c>
      <c r="L70" s="20" t="s">
        <v>89</v>
      </c>
      <c r="M70" s="19" t="s">
        <v>623</v>
      </c>
      <c r="N70" s="15">
        <v>46227.0</v>
      </c>
      <c r="O70" s="15">
        <v>46241.0</v>
      </c>
      <c r="P70" s="12" t="str">
        <f t="shared" si="8"/>
        <v>수면|데이터기록관리|만성증상관리자|앱단독|Freemium(프리미엄)</v>
      </c>
      <c r="Q70" s="12">
        <f t="shared" si="9"/>
        <v>1</v>
      </c>
      <c r="R70" s="12">
        <f t="shared" si="10"/>
        <v>65</v>
      </c>
      <c r="S70" s="26" t="s">
        <v>616</v>
      </c>
      <c r="T70" s="26" t="s">
        <v>624</v>
      </c>
    </row>
    <row r="71" ht="15.75" customHeight="1">
      <c r="A71" s="10" t="str">
        <f t="shared" si="7"/>
        <v>CP070</v>
      </c>
      <c r="B71" s="20" t="s">
        <v>625</v>
      </c>
      <c r="C71" s="19" t="s">
        <v>512</v>
      </c>
      <c r="D71" s="19" t="s">
        <v>94</v>
      </c>
      <c r="E71" s="19" t="s">
        <v>46</v>
      </c>
      <c r="F71" s="19" t="s">
        <v>103</v>
      </c>
      <c r="G71" s="19" t="s">
        <v>51</v>
      </c>
      <c r="H71" s="23" t="s">
        <v>626</v>
      </c>
      <c r="I71" s="19" t="s">
        <v>54</v>
      </c>
      <c r="J71" s="19" t="s">
        <v>627</v>
      </c>
      <c r="K71" s="19" t="s">
        <v>628</v>
      </c>
      <c r="L71" s="20" t="s">
        <v>124</v>
      </c>
      <c r="M71" s="19" t="s">
        <v>629</v>
      </c>
      <c r="N71" s="15">
        <v>46227.0</v>
      </c>
      <c r="O71" s="15">
        <v>46241.0</v>
      </c>
      <c r="P71" s="12" t="str">
        <f t="shared" si="8"/>
        <v>수면|정보제공|이완희망자, 불면증환자|앱단독|Subscription(구독형)</v>
      </c>
      <c r="Q71" s="12">
        <f t="shared" si="9"/>
        <v>1</v>
      </c>
      <c r="R71" s="12">
        <f t="shared" si="10"/>
        <v>66</v>
      </c>
      <c r="S71" s="26" t="s">
        <v>630</v>
      </c>
      <c r="T71" s="26" t="s">
        <v>631</v>
      </c>
    </row>
    <row r="72" ht="15.75" customHeight="1">
      <c r="A72" s="10" t="str">
        <f t="shared" si="7"/>
        <v>CP071</v>
      </c>
      <c r="B72" s="13" t="s">
        <v>632</v>
      </c>
      <c r="C72" s="13" t="s">
        <v>512</v>
      </c>
      <c r="D72" s="13" t="s">
        <v>74</v>
      </c>
      <c r="E72" s="13" t="s">
        <v>75</v>
      </c>
      <c r="F72" s="13" t="s">
        <v>103</v>
      </c>
      <c r="G72" s="13" t="s">
        <v>77</v>
      </c>
      <c r="H72" s="13" t="s">
        <v>633</v>
      </c>
      <c r="I72" s="13" t="s">
        <v>54</v>
      </c>
      <c r="J72" s="13" t="s">
        <v>634</v>
      </c>
      <c r="K72" s="13" t="s">
        <v>635</v>
      </c>
      <c r="L72" s="13" t="s">
        <v>89</v>
      </c>
      <c r="M72" s="13" t="s">
        <v>636</v>
      </c>
      <c r="N72" s="15">
        <v>46227.0</v>
      </c>
      <c r="O72" s="15">
        <v>46227.0</v>
      </c>
      <c r="P72" s="12" t="str">
        <f t="shared" si="8"/>
        <v>수면|데이터기록관리|불면/기상곤란/스트레스관심층|앱단독|Freemium(프리미엄)</v>
      </c>
      <c r="Q72" s="12">
        <f t="shared" si="9"/>
        <v>1</v>
      </c>
      <c r="R72" s="12">
        <f t="shared" si="10"/>
        <v>67</v>
      </c>
      <c r="S72" s="26" t="s">
        <v>637</v>
      </c>
      <c r="T72" s="26" t="s">
        <v>638</v>
      </c>
    </row>
    <row r="73" ht="15.75" customHeight="1">
      <c r="A73" s="10" t="str">
        <f t="shared" si="7"/>
        <v>CP072</v>
      </c>
      <c r="B73" s="13" t="s">
        <v>639</v>
      </c>
      <c r="C73" s="13" t="s">
        <v>512</v>
      </c>
      <c r="D73" s="13" t="s">
        <v>94</v>
      </c>
      <c r="E73" s="13" t="s">
        <v>75</v>
      </c>
      <c r="F73" s="13" t="s">
        <v>103</v>
      </c>
      <c r="G73" s="13" t="s">
        <v>51</v>
      </c>
      <c r="H73" s="13" t="s">
        <v>640</v>
      </c>
      <c r="I73" s="13" t="s">
        <v>54</v>
      </c>
      <c r="J73" s="13" t="s">
        <v>641</v>
      </c>
      <c r="K73" s="13" t="s">
        <v>642</v>
      </c>
      <c r="L73" s="13" t="s">
        <v>133</v>
      </c>
      <c r="M73" s="13" t="s">
        <v>643</v>
      </c>
      <c r="N73" s="15">
        <v>46227.0</v>
      </c>
      <c r="O73" s="15">
        <v>46241.0</v>
      </c>
      <c r="P73" s="12" t="str">
        <f t="shared" si="8"/>
        <v>수면|정보제공|코골이기록희망자, 수면개선희망자|앱단독|Add-on(애드온)</v>
      </c>
      <c r="Q73" s="12">
        <f t="shared" si="9"/>
        <v>1</v>
      </c>
      <c r="R73" s="12">
        <f t="shared" si="10"/>
        <v>68</v>
      </c>
      <c r="S73" s="26" t="s">
        <v>644</v>
      </c>
      <c r="T73" s="26" t="s">
        <v>645</v>
      </c>
    </row>
    <row r="74" ht="15.75" customHeight="1">
      <c r="A74" s="10" t="str">
        <f t="shared" si="7"/>
        <v>CP073</v>
      </c>
      <c r="B74" s="20" t="s">
        <v>646</v>
      </c>
      <c r="C74" s="19" t="s">
        <v>512</v>
      </c>
      <c r="D74" s="19" t="s">
        <v>94</v>
      </c>
      <c r="E74" s="23" t="s">
        <v>46</v>
      </c>
      <c r="F74" s="19" t="s">
        <v>48</v>
      </c>
      <c r="G74" s="19" t="s">
        <v>51</v>
      </c>
      <c r="H74" s="23" t="s">
        <v>78</v>
      </c>
      <c r="I74" s="19" t="s">
        <v>54</v>
      </c>
      <c r="J74" s="19" t="s">
        <v>647</v>
      </c>
      <c r="K74" s="19" t="s">
        <v>648</v>
      </c>
      <c r="L74" s="20" t="s">
        <v>124</v>
      </c>
      <c r="M74" s="19" t="s">
        <v>649</v>
      </c>
      <c r="N74" s="15">
        <v>46227.0</v>
      </c>
      <c r="O74" s="15">
        <v>46241.0</v>
      </c>
      <c r="P74" s="12" t="str">
        <f t="shared" si="8"/>
        <v>수면|정보제공|전연령|앱단독|Subscription(구독형)</v>
      </c>
      <c r="Q74" s="12">
        <f t="shared" si="9"/>
        <v>0</v>
      </c>
      <c r="R74" s="12" t="str">
        <f t="shared" si="10"/>
        <v/>
      </c>
      <c r="S74" s="26" t="s">
        <v>650</v>
      </c>
      <c r="T74" s="26" t="s">
        <v>651</v>
      </c>
    </row>
    <row r="75" ht="15.75" customHeight="1">
      <c r="A75" s="10" t="str">
        <f t="shared" si="7"/>
        <v>CP074</v>
      </c>
      <c r="B75" s="20" t="s">
        <v>652</v>
      </c>
      <c r="C75" s="19" t="s">
        <v>512</v>
      </c>
      <c r="D75" s="23" t="s">
        <v>74</v>
      </c>
      <c r="E75" s="23" t="s">
        <v>653</v>
      </c>
      <c r="F75" s="23" t="s">
        <v>103</v>
      </c>
      <c r="G75" s="23" t="s">
        <v>51</v>
      </c>
      <c r="H75" s="23" t="s">
        <v>654</v>
      </c>
      <c r="I75" s="23" t="s">
        <v>54</v>
      </c>
      <c r="J75" s="23" t="s">
        <v>655</v>
      </c>
      <c r="K75" s="23" t="s">
        <v>656</v>
      </c>
      <c r="L75" s="20" t="s">
        <v>124</v>
      </c>
      <c r="M75" s="23" t="s">
        <v>657</v>
      </c>
      <c r="N75" s="15">
        <v>46227.0</v>
      </c>
      <c r="O75" s="15">
        <v>46241.0</v>
      </c>
      <c r="P75" s="12" t="str">
        <f t="shared" si="8"/>
        <v>수면|데이터기록관리|불면증환자, 건강관심층|앱단독|Subscription(구독형)</v>
      </c>
      <c r="Q75" s="12">
        <f t="shared" si="9"/>
        <v>1</v>
      </c>
      <c r="R75" s="12">
        <f t="shared" si="10"/>
        <v>69</v>
      </c>
      <c r="S75" s="26" t="s">
        <v>658</v>
      </c>
      <c r="T75" s="26" t="s">
        <v>659</v>
      </c>
    </row>
    <row r="76" ht="15.75" customHeight="1">
      <c r="A76" s="10" t="str">
        <f t="shared" si="7"/>
        <v>CP075</v>
      </c>
      <c r="B76" s="13" t="s">
        <v>278</v>
      </c>
      <c r="C76" s="13" t="s">
        <v>512</v>
      </c>
      <c r="D76" s="13" t="s">
        <v>94</v>
      </c>
      <c r="E76" s="13" t="s">
        <v>75</v>
      </c>
      <c r="F76" s="13" t="s">
        <v>103</v>
      </c>
      <c r="G76" s="13" t="s">
        <v>51</v>
      </c>
      <c r="H76" s="13" t="s">
        <v>660</v>
      </c>
      <c r="I76" s="13" t="s">
        <v>54</v>
      </c>
      <c r="J76" s="13" t="s">
        <v>661</v>
      </c>
      <c r="K76" s="13" t="s">
        <v>662</v>
      </c>
      <c r="L76" s="13" t="s">
        <v>124</v>
      </c>
      <c r="M76" s="13" t="s">
        <v>663</v>
      </c>
      <c r="N76" s="15">
        <v>46227.0</v>
      </c>
      <c r="O76" s="15">
        <v>46241.0</v>
      </c>
      <c r="P76" s="12" t="str">
        <f t="shared" si="8"/>
        <v>수면|정보제공|스트레스관심층|앱단독|Subscription(구독형)</v>
      </c>
      <c r="Q76" s="12">
        <f t="shared" si="9"/>
        <v>1</v>
      </c>
      <c r="R76" s="12">
        <f t="shared" si="10"/>
        <v>70</v>
      </c>
      <c r="S76" s="26" t="s">
        <v>664</v>
      </c>
      <c r="T76" s="26" t="s">
        <v>665</v>
      </c>
    </row>
    <row r="77" ht="15.75" customHeight="1">
      <c r="A77" s="10" t="str">
        <f t="shared" si="7"/>
        <v>CP076</v>
      </c>
      <c r="B77" s="13" t="s">
        <v>666</v>
      </c>
      <c r="C77" s="13" t="s">
        <v>512</v>
      </c>
      <c r="D77" s="13" t="s">
        <v>94</v>
      </c>
      <c r="E77" s="13" t="s">
        <v>75</v>
      </c>
      <c r="F77" s="13" t="s">
        <v>103</v>
      </c>
      <c r="G77" s="13" t="s">
        <v>51</v>
      </c>
      <c r="H77" s="13" t="s">
        <v>667</v>
      </c>
      <c r="I77" s="13" t="s">
        <v>54</v>
      </c>
      <c r="J77" s="13" t="s">
        <v>668</v>
      </c>
      <c r="K77" s="13" t="s">
        <v>669</v>
      </c>
      <c r="L77" s="13" t="s">
        <v>89</v>
      </c>
      <c r="M77" s="13" t="s">
        <v>670</v>
      </c>
      <c r="N77" s="15">
        <v>46227.0</v>
      </c>
      <c r="O77" s="15">
        <v>46241.0</v>
      </c>
      <c r="P77" s="12" t="str">
        <f t="shared" si="8"/>
        <v>수면|정보제공|이완희망자|앱단독|Freemium(프리미엄)</v>
      </c>
      <c r="Q77" s="12">
        <f t="shared" si="9"/>
        <v>1</v>
      </c>
      <c r="R77" s="12">
        <f t="shared" si="10"/>
        <v>71</v>
      </c>
      <c r="S77" s="26" t="s">
        <v>671</v>
      </c>
      <c r="T77" s="26" t="s">
        <v>672</v>
      </c>
    </row>
    <row r="78" ht="15.75" customHeight="1">
      <c r="A78" s="10" t="str">
        <f t="shared" si="7"/>
        <v>CP077</v>
      </c>
      <c r="B78" s="13" t="s">
        <v>673</v>
      </c>
      <c r="C78" s="13" t="s">
        <v>512</v>
      </c>
      <c r="D78" s="13" t="s">
        <v>94</v>
      </c>
      <c r="E78" s="13" t="s">
        <v>75</v>
      </c>
      <c r="F78" s="13" t="s">
        <v>103</v>
      </c>
      <c r="G78" s="13" t="s">
        <v>51</v>
      </c>
      <c r="H78" s="13" t="s">
        <v>667</v>
      </c>
      <c r="I78" s="13" t="s">
        <v>54</v>
      </c>
      <c r="J78" s="13" t="s">
        <v>674</v>
      </c>
      <c r="K78" s="13" t="s">
        <v>675</v>
      </c>
      <c r="L78" s="13" t="s">
        <v>89</v>
      </c>
      <c r="M78" s="13" t="s">
        <v>676</v>
      </c>
      <c r="N78" s="15">
        <v>46227.0</v>
      </c>
      <c r="O78" s="15">
        <v>46241.0</v>
      </c>
      <c r="P78" s="12" t="str">
        <f t="shared" si="8"/>
        <v>수면|정보제공|이완희망자|앱단독|Freemium(프리미엄)</v>
      </c>
      <c r="Q78" s="12">
        <f t="shared" si="9"/>
        <v>0</v>
      </c>
      <c r="R78" s="12" t="str">
        <f t="shared" si="10"/>
        <v/>
      </c>
      <c r="S78" s="26" t="s">
        <v>677</v>
      </c>
      <c r="T78" s="26" t="s">
        <v>678</v>
      </c>
    </row>
    <row r="79" ht="15.75" customHeight="1">
      <c r="A79" s="10" t="str">
        <f t="shared" si="7"/>
        <v>CP078</v>
      </c>
      <c r="B79" s="13" t="s">
        <v>679</v>
      </c>
      <c r="C79" s="13" t="s">
        <v>42</v>
      </c>
      <c r="D79" s="13" t="s">
        <v>94</v>
      </c>
      <c r="E79" s="13" t="s">
        <v>75</v>
      </c>
      <c r="F79" s="13" t="s">
        <v>48</v>
      </c>
      <c r="G79" s="13" t="s">
        <v>51</v>
      </c>
      <c r="H79" s="13" t="s">
        <v>680</v>
      </c>
      <c r="I79" s="13" t="s">
        <v>54</v>
      </c>
      <c r="J79" s="13" t="s">
        <v>681</v>
      </c>
      <c r="K79" s="13" t="s">
        <v>682</v>
      </c>
      <c r="L79" s="13" t="s">
        <v>89</v>
      </c>
      <c r="M79" s="13" t="s">
        <v>683</v>
      </c>
      <c r="N79" s="15">
        <v>46229.0</v>
      </c>
      <c r="O79" s="15">
        <v>46229.0</v>
      </c>
      <c r="P79" s="12" t="str">
        <f t="shared" si="8"/>
        <v>식단|정보제공|다이어터|앱단독|Freemium(프리미엄)</v>
      </c>
      <c r="Q79" s="12">
        <f t="shared" si="9"/>
        <v>1</v>
      </c>
      <c r="R79" s="12">
        <f t="shared" si="10"/>
        <v>72</v>
      </c>
      <c r="S79" s="26" t="s">
        <v>684</v>
      </c>
      <c r="T79" s="26" t="s">
        <v>685</v>
      </c>
      <c r="U79" s="26"/>
    </row>
    <row r="80" ht="15.75" customHeight="1">
      <c r="A80" s="10" t="str">
        <f t="shared" si="7"/>
        <v>CP079</v>
      </c>
      <c r="B80" s="13" t="s">
        <v>686</v>
      </c>
      <c r="C80" s="13" t="s">
        <v>42</v>
      </c>
      <c r="D80" s="13" t="s">
        <v>190</v>
      </c>
      <c r="E80" s="13" t="s">
        <v>75</v>
      </c>
      <c r="F80" s="13" t="s">
        <v>103</v>
      </c>
      <c r="G80" s="13" t="s">
        <v>51</v>
      </c>
      <c r="H80" s="13" t="s">
        <v>687</v>
      </c>
      <c r="I80" s="13" t="s">
        <v>54</v>
      </c>
      <c r="J80" s="13" t="s">
        <v>688</v>
      </c>
      <c r="K80" s="13" t="s">
        <v>689</v>
      </c>
      <c r="L80" s="13" t="s">
        <v>98</v>
      </c>
      <c r="M80" s="13" t="s">
        <v>690</v>
      </c>
      <c r="N80" s="15">
        <v>46229.0</v>
      </c>
      <c r="O80" s="15">
        <v>46229.0</v>
      </c>
      <c r="P80" s="12" t="str">
        <f t="shared" si="8"/>
        <v>식단|매칭연결|만성질환자, 다이어터|앱단독|Two-sided Market(양면시장)</v>
      </c>
      <c r="Q80" s="12">
        <f t="shared" si="9"/>
        <v>1</v>
      </c>
      <c r="R80" s="12">
        <f t="shared" si="10"/>
        <v>73</v>
      </c>
      <c r="S80" s="26" t="s">
        <v>691</v>
      </c>
      <c r="T80" s="26" t="s">
        <v>692</v>
      </c>
    </row>
    <row r="81" ht="15.75" customHeight="1">
      <c r="A81" s="10" t="str">
        <f t="shared" si="7"/>
        <v>CP080</v>
      </c>
      <c r="B81" s="13" t="s">
        <v>693</v>
      </c>
      <c r="C81" s="13" t="s">
        <v>42</v>
      </c>
      <c r="D81" s="13" t="s">
        <v>74</v>
      </c>
      <c r="E81" s="13" t="s">
        <v>75</v>
      </c>
      <c r="F81" s="13" t="s">
        <v>103</v>
      </c>
      <c r="G81" s="13" t="s">
        <v>51</v>
      </c>
      <c r="H81" s="13" t="s">
        <v>694</v>
      </c>
      <c r="I81" s="13" t="s">
        <v>54</v>
      </c>
      <c r="J81" s="13" t="s">
        <v>695</v>
      </c>
      <c r="K81" s="13" t="s">
        <v>696</v>
      </c>
      <c r="L81" s="13" t="s">
        <v>89</v>
      </c>
      <c r="M81" s="13" t="s">
        <v>697</v>
      </c>
      <c r="N81" s="15">
        <v>46229.0</v>
      </c>
      <c r="O81" s="15">
        <v>46229.0</v>
      </c>
      <c r="P81" s="12" t="str">
        <f t="shared" si="8"/>
        <v>식단|데이터기록관리|다이어터, 20대 여성|앱단독|Freemium(프리미엄)</v>
      </c>
      <c r="Q81" s="12">
        <f t="shared" si="9"/>
        <v>1</v>
      </c>
      <c r="R81" s="12">
        <f t="shared" si="10"/>
        <v>74</v>
      </c>
      <c r="S81" s="26" t="s">
        <v>698</v>
      </c>
      <c r="T81" s="26" t="s">
        <v>699</v>
      </c>
    </row>
    <row r="82" ht="15.75" customHeight="1">
      <c r="A82" s="10" t="str">
        <f t="shared" si="7"/>
        <v>CP081</v>
      </c>
      <c r="B82" s="13" t="s">
        <v>700</v>
      </c>
      <c r="C82" s="13" t="s">
        <v>42</v>
      </c>
      <c r="D82" s="13" t="s">
        <v>44</v>
      </c>
      <c r="E82" s="13" t="s">
        <v>75</v>
      </c>
      <c r="F82" s="13" t="s">
        <v>103</v>
      </c>
      <c r="G82" s="13" t="s">
        <v>77</v>
      </c>
      <c r="H82" s="13" t="s">
        <v>701</v>
      </c>
      <c r="I82" s="13" t="s">
        <v>79</v>
      </c>
      <c r="J82" s="13" t="s">
        <v>702</v>
      </c>
      <c r="K82" s="13" t="s">
        <v>703</v>
      </c>
      <c r="L82" s="13" t="s">
        <v>169</v>
      </c>
      <c r="M82" s="13" t="s">
        <v>704</v>
      </c>
      <c r="N82" s="15">
        <v>46229.0</v>
      </c>
      <c r="O82" s="15">
        <v>46229.0</v>
      </c>
      <c r="P82" s="12" t="str">
        <f t="shared" si="8"/>
        <v>식단|개입치료|당뇨전단계, 다이어터|웨어러블연동|Razor And Blade(레이저블레</v>
      </c>
      <c r="Q82" s="12">
        <f t="shared" si="9"/>
        <v>1</v>
      </c>
      <c r="R82" s="12">
        <f t="shared" si="10"/>
        <v>75</v>
      </c>
      <c r="S82" s="26" t="s">
        <v>705</v>
      </c>
      <c r="T82" s="26" t="s">
        <v>706</v>
      </c>
    </row>
    <row r="83" ht="15.75" customHeight="1">
      <c r="A83" s="10" t="str">
        <f t="shared" si="7"/>
        <v>CP082</v>
      </c>
      <c r="B83" s="13" t="s">
        <v>707</v>
      </c>
      <c r="C83" s="13" t="s">
        <v>42</v>
      </c>
      <c r="D83" s="13" t="s">
        <v>44</v>
      </c>
      <c r="E83" s="13" t="s">
        <v>75</v>
      </c>
      <c r="F83" s="13" t="s">
        <v>76</v>
      </c>
      <c r="G83" s="13" t="s">
        <v>77</v>
      </c>
      <c r="H83" s="13" t="s">
        <v>708</v>
      </c>
      <c r="I83" s="13" t="s">
        <v>709</v>
      </c>
      <c r="J83" s="13" t="s">
        <v>710</v>
      </c>
      <c r="K83" s="13" t="s">
        <v>711</v>
      </c>
      <c r="L83" s="13" t="s">
        <v>98</v>
      </c>
      <c r="M83" s="13" t="s">
        <v>712</v>
      </c>
      <c r="N83" s="15">
        <v>46229.0</v>
      </c>
      <c r="O83" s="15">
        <v>46229.0</v>
      </c>
      <c r="P83" s="12" t="str">
        <f t="shared" si="8"/>
        <v>식단|개입치료|비만치료희망자, 전연령|앱단독(원격의료)|Two-sided Market(양면시장)</v>
      </c>
      <c r="Q83" s="12">
        <f t="shared" si="9"/>
        <v>1</v>
      </c>
      <c r="R83" s="12">
        <f t="shared" si="10"/>
        <v>76</v>
      </c>
      <c r="S83" s="26" t="s">
        <v>713</v>
      </c>
      <c r="T83" s="26" t="s">
        <v>714</v>
      </c>
    </row>
    <row r="84" ht="15.75" customHeight="1">
      <c r="A84" s="10" t="str">
        <f t="shared" si="7"/>
        <v>CP083</v>
      </c>
      <c r="B84" s="13" t="s">
        <v>715</v>
      </c>
      <c r="C84" s="13" t="s">
        <v>42</v>
      </c>
      <c r="D84" s="13" t="s">
        <v>74</v>
      </c>
      <c r="E84" s="13" t="s">
        <v>75</v>
      </c>
      <c r="F84" s="13" t="s">
        <v>103</v>
      </c>
      <c r="G84" s="13" t="s">
        <v>77</v>
      </c>
      <c r="H84" s="13" t="s">
        <v>716</v>
      </c>
      <c r="I84" s="13" t="s">
        <v>717</v>
      </c>
      <c r="J84" s="13" t="s">
        <v>718</v>
      </c>
      <c r="K84" s="13" t="s">
        <v>719</v>
      </c>
      <c r="L84" s="13" t="s">
        <v>356</v>
      </c>
      <c r="M84" s="13" t="s">
        <v>720</v>
      </c>
      <c r="N84" s="15">
        <v>46229.0</v>
      </c>
      <c r="O84" s="15">
        <v>46229.0</v>
      </c>
      <c r="P84" s="12" t="str">
        <f t="shared" si="8"/>
        <v>식단|데이터기록관리|암환자|앱단독(병원연계)|Digitization(디지털전환)</v>
      </c>
      <c r="Q84" s="12">
        <f t="shared" si="9"/>
        <v>1</v>
      </c>
      <c r="R84" s="12">
        <f t="shared" si="10"/>
        <v>77</v>
      </c>
      <c r="S84" s="26" t="s">
        <v>721</v>
      </c>
      <c r="T84" s="26" t="s">
        <v>722</v>
      </c>
    </row>
    <row r="85" ht="15.75" customHeight="1">
      <c r="A85" s="10" t="str">
        <f t="shared" si="7"/>
        <v>CP084</v>
      </c>
      <c r="B85" s="13" t="s">
        <v>723</v>
      </c>
      <c r="C85" s="13" t="s">
        <v>42</v>
      </c>
      <c r="D85" s="13" t="s">
        <v>94</v>
      </c>
      <c r="E85" s="13" t="s">
        <v>75</v>
      </c>
      <c r="F85" s="13" t="s">
        <v>103</v>
      </c>
      <c r="G85" s="13" t="s">
        <v>51</v>
      </c>
      <c r="H85" s="13" t="s">
        <v>724</v>
      </c>
      <c r="I85" s="13" t="s">
        <v>54</v>
      </c>
      <c r="J85" s="13" t="s">
        <v>725</v>
      </c>
      <c r="K85" s="13" t="s">
        <v>726</v>
      </c>
      <c r="L85" s="13" t="s">
        <v>89</v>
      </c>
      <c r="M85" s="13" t="s">
        <v>727</v>
      </c>
      <c r="N85" s="15">
        <v>46230.0</v>
      </c>
      <c r="O85" s="15">
        <v>46229.0</v>
      </c>
      <c r="P85" s="12" t="str">
        <f t="shared" si="8"/>
        <v>식단|정보제공|식단관리자,20~30대|앱단독|Freemium(프리미엄)</v>
      </c>
      <c r="Q85" s="12">
        <f t="shared" si="9"/>
        <v>1</v>
      </c>
      <c r="R85" s="12">
        <f t="shared" si="10"/>
        <v>78</v>
      </c>
      <c r="S85" s="26" t="s">
        <v>728</v>
      </c>
      <c r="T85" s="26" t="s">
        <v>729</v>
      </c>
    </row>
    <row r="86" ht="15.75" customHeight="1">
      <c r="A86" s="10" t="str">
        <f t="shared" si="7"/>
        <v>CP085</v>
      </c>
      <c r="B86" s="13" t="s">
        <v>730</v>
      </c>
      <c r="C86" s="13" t="s">
        <v>42</v>
      </c>
      <c r="D86" s="13" t="s">
        <v>44</v>
      </c>
      <c r="E86" s="13" t="s">
        <v>75</v>
      </c>
      <c r="F86" s="13" t="s">
        <v>76</v>
      </c>
      <c r="G86" s="13" t="s">
        <v>77</v>
      </c>
      <c r="H86" s="13" t="s">
        <v>731</v>
      </c>
      <c r="I86" s="13" t="s">
        <v>79</v>
      </c>
      <c r="J86" s="13" t="s">
        <v>732</v>
      </c>
      <c r="K86" s="13" t="s">
        <v>733</v>
      </c>
      <c r="L86" s="13" t="s">
        <v>229</v>
      </c>
      <c r="M86" s="13" t="s">
        <v>734</v>
      </c>
      <c r="N86" s="15">
        <v>46229.0</v>
      </c>
      <c r="O86" s="15">
        <v>46229.0</v>
      </c>
      <c r="P86" s="12" t="str">
        <f t="shared" si="8"/>
        <v>식단|개입치료|당뇨환자, 식단관리|웨어러블연동|Sensor As A Service(센서서비스)</v>
      </c>
      <c r="Q86" s="12">
        <f t="shared" si="9"/>
        <v>1</v>
      </c>
      <c r="R86" s="12">
        <f t="shared" si="10"/>
        <v>79</v>
      </c>
      <c r="S86" s="26" t="s">
        <v>735</v>
      </c>
      <c r="T86" s="26" t="s">
        <v>736</v>
      </c>
    </row>
    <row r="87" ht="15.75" customHeight="1">
      <c r="A87" s="10" t="str">
        <f t="shared" si="7"/>
        <v>CP086</v>
      </c>
      <c r="B87" s="13" t="s">
        <v>737</v>
      </c>
      <c r="C87" s="13" t="s">
        <v>42</v>
      </c>
      <c r="D87" s="13" t="s">
        <v>44</v>
      </c>
      <c r="E87" s="13" t="s">
        <v>75</v>
      </c>
      <c r="F87" s="13" t="s">
        <v>103</v>
      </c>
      <c r="G87" s="13" t="s">
        <v>51</v>
      </c>
      <c r="H87" s="13" t="s">
        <v>738</v>
      </c>
      <c r="I87" s="13" t="s">
        <v>54</v>
      </c>
      <c r="J87" s="13" t="s">
        <v>739</v>
      </c>
      <c r="K87" s="13" t="s">
        <v>740</v>
      </c>
      <c r="L87" s="13" t="s">
        <v>89</v>
      </c>
      <c r="M87" s="13" t="s">
        <v>741</v>
      </c>
      <c r="N87" s="15">
        <v>46229.0</v>
      </c>
      <c r="O87" s="15">
        <v>46229.0</v>
      </c>
      <c r="P87" s="12" t="str">
        <f t="shared" si="8"/>
        <v>식단|개입치료|다이어터, 여성, 10~30대|앱단독|Freemium(프리미엄)</v>
      </c>
      <c r="Q87" s="12">
        <f t="shared" si="9"/>
        <v>1</v>
      </c>
      <c r="R87" s="12">
        <f t="shared" si="10"/>
        <v>80</v>
      </c>
      <c r="S87" s="26" t="s">
        <v>742</v>
      </c>
      <c r="T87" s="26" t="s">
        <v>743</v>
      </c>
    </row>
    <row r="88" ht="15.75" customHeight="1">
      <c r="A88" s="10" t="str">
        <f t="shared" si="7"/>
        <v>CP087</v>
      </c>
      <c r="B88" s="13" t="s">
        <v>744</v>
      </c>
      <c r="C88" s="13" t="s">
        <v>42</v>
      </c>
      <c r="D88" s="13" t="s">
        <v>44</v>
      </c>
      <c r="E88" s="13" t="s">
        <v>46</v>
      </c>
      <c r="F88" s="13" t="s">
        <v>48</v>
      </c>
      <c r="G88" s="13" t="s">
        <v>51</v>
      </c>
      <c r="H88" s="13" t="s">
        <v>745</v>
      </c>
      <c r="I88" s="13" t="s">
        <v>54</v>
      </c>
      <c r="J88" s="13" t="s">
        <v>746</v>
      </c>
      <c r="K88" s="13" t="s">
        <v>747</v>
      </c>
      <c r="L88" s="13" t="s">
        <v>124</v>
      </c>
      <c r="M88" s="13" t="s">
        <v>748</v>
      </c>
      <c r="N88" s="15">
        <v>46229.0</v>
      </c>
      <c r="O88" s="15">
        <v>46229.0</v>
      </c>
      <c r="P88" s="12" t="str">
        <f t="shared" si="8"/>
        <v>식단|개입치료|다이어터, 20~40대|앱단독|Subscription(구독형)</v>
      </c>
      <c r="Q88" s="12">
        <f t="shared" si="9"/>
        <v>1</v>
      </c>
      <c r="R88" s="12">
        <f t="shared" si="10"/>
        <v>81</v>
      </c>
      <c r="S88" s="26" t="s">
        <v>749</v>
      </c>
      <c r="T88" s="26" t="s">
        <v>750</v>
      </c>
    </row>
    <row r="89" ht="15.75" customHeight="1">
      <c r="A89" s="10" t="str">
        <f t="shared" si="7"/>
        <v>CP088</v>
      </c>
      <c r="B89" s="13" t="s">
        <v>751</v>
      </c>
      <c r="C89" s="13" t="s">
        <v>42</v>
      </c>
      <c r="D89" s="13" t="s">
        <v>74</v>
      </c>
      <c r="E89" s="13" t="s">
        <v>46</v>
      </c>
      <c r="F89" s="13" t="s">
        <v>48</v>
      </c>
      <c r="G89" s="13" t="s">
        <v>51</v>
      </c>
      <c r="H89" s="13" t="s">
        <v>752</v>
      </c>
      <c r="I89" s="13" t="s">
        <v>54</v>
      </c>
      <c r="J89" s="13" t="s">
        <v>753</v>
      </c>
      <c r="K89" s="13" t="s">
        <v>754</v>
      </c>
      <c r="L89" s="13" t="s">
        <v>89</v>
      </c>
      <c r="M89" s="13" t="s">
        <v>755</v>
      </c>
      <c r="N89" s="15">
        <v>46229.0</v>
      </c>
      <c r="O89" s="15">
        <v>46229.0</v>
      </c>
      <c r="P89" s="12" t="str">
        <f t="shared" si="8"/>
        <v>식단|데이터기록관리|다이어터, 전연령|앱단독|Freemium(프리미엄)</v>
      </c>
      <c r="Q89" s="12">
        <f t="shared" si="9"/>
        <v>1</v>
      </c>
      <c r="R89" s="12">
        <f t="shared" si="10"/>
        <v>82</v>
      </c>
      <c r="S89" s="26" t="s">
        <v>756</v>
      </c>
      <c r="T89" s="26" t="s">
        <v>757</v>
      </c>
    </row>
    <row r="90" ht="15.75" customHeight="1">
      <c r="A90" s="10" t="str">
        <f t="shared" si="7"/>
        <v>CP089</v>
      </c>
      <c r="B90" s="13" t="s">
        <v>72</v>
      </c>
      <c r="C90" s="13" t="s">
        <v>73</v>
      </c>
      <c r="D90" s="13" t="s">
        <v>74</v>
      </c>
      <c r="E90" s="13" t="s">
        <v>75</v>
      </c>
      <c r="F90" s="13" t="s">
        <v>76</v>
      </c>
      <c r="G90" s="13" t="s">
        <v>77</v>
      </c>
      <c r="H90" s="13" t="s">
        <v>78</v>
      </c>
      <c r="I90" s="13" t="s">
        <v>79</v>
      </c>
      <c r="J90" s="13" t="s">
        <v>758</v>
      </c>
      <c r="K90" s="13" t="s">
        <v>81</v>
      </c>
      <c r="L90" s="13" t="s">
        <v>555</v>
      </c>
      <c r="M90" s="13" t="s">
        <v>759</v>
      </c>
      <c r="N90" s="15">
        <v>46229.0</v>
      </c>
      <c r="O90" s="15">
        <v>46229.0</v>
      </c>
      <c r="P90" s="12" t="str">
        <f t="shared" si="8"/>
        <v>운동|데이터기록관리|전연령|웨어러블연동|Lock-in(락인)</v>
      </c>
      <c r="Q90" s="12">
        <f t="shared" si="9"/>
        <v>0</v>
      </c>
      <c r="R90" s="12" t="str">
        <f t="shared" si="10"/>
        <v/>
      </c>
      <c r="S90" s="26" t="s">
        <v>760</v>
      </c>
      <c r="T90" s="26" t="s">
        <v>761</v>
      </c>
    </row>
    <row r="91" ht="15.75" customHeight="1">
      <c r="A91" s="10" t="str">
        <f t="shared" si="7"/>
        <v>CP090</v>
      </c>
      <c r="B91" s="13" t="s">
        <v>762</v>
      </c>
      <c r="C91" s="13" t="s">
        <v>73</v>
      </c>
      <c r="D91" s="13" t="s">
        <v>74</v>
      </c>
      <c r="E91" s="13" t="s">
        <v>75</v>
      </c>
      <c r="F91" s="13" t="s">
        <v>76</v>
      </c>
      <c r="G91" s="13" t="s">
        <v>77</v>
      </c>
      <c r="H91" s="13" t="s">
        <v>763</v>
      </c>
      <c r="I91" s="13" t="s">
        <v>764</v>
      </c>
      <c r="J91" s="13" t="s">
        <v>765</v>
      </c>
      <c r="K91" s="13" t="s">
        <v>766</v>
      </c>
      <c r="L91" s="13" t="s">
        <v>140</v>
      </c>
      <c r="M91" s="13" t="s">
        <v>767</v>
      </c>
      <c r="N91" s="15">
        <v>46229.0</v>
      </c>
      <c r="O91" s="15">
        <v>46229.0</v>
      </c>
      <c r="P91" s="12" t="str">
        <f t="shared" si="8"/>
        <v>운동|데이터기록관리|서울시민, 전연령|앱단독+웨어러블 연동|Leverage Customer Data(데이터활용)</v>
      </c>
      <c r="Q91" s="12">
        <f t="shared" si="9"/>
        <v>1</v>
      </c>
      <c r="R91" s="12">
        <f t="shared" si="10"/>
        <v>83</v>
      </c>
      <c r="S91" s="26" t="s">
        <v>768</v>
      </c>
      <c r="T91" s="26" t="s">
        <v>769</v>
      </c>
    </row>
    <row r="92" ht="15.75" customHeight="1">
      <c r="A92" s="10" t="str">
        <f t="shared" si="7"/>
        <v>CP091</v>
      </c>
      <c r="B92" s="13" t="s">
        <v>770</v>
      </c>
      <c r="C92" s="13" t="s">
        <v>73</v>
      </c>
      <c r="D92" s="13" t="s">
        <v>190</v>
      </c>
      <c r="E92" s="13" t="s">
        <v>75</v>
      </c>
      <c r="F92" s="13" t="s">
        <v>48</v>
      </c>
      <c r="G92" s="13" t="s">
        <v>51</v>
      </c>
      <c r="H92" s="13" t="s">
        <v>771</v>
      </c>
      <c r="I92" s="13" t="s">
        <v>54</v>
      </c>
      <c r="J92" s="13" t="s">
        <v>772</v>
      </c>
      <c r="K92" s="13" t="s">
        <v>773</v>
      </c>
      <c r="L92" s="13" t="s">
        <v>98</v>
      </c>
      <c r="M92" s="13" t="s">
        <v>774</v>
      </c>
      <c r="N92" s="15">
        <v>46229.0</v>
      </c>
      <c r="O92" s="15">
        <v>46229.0</v>
      </c>
      <c r="P92" s="12" t="str">
        <f t="shared" si="8"/>
        <v>운동|매칭연결|PT희망자, 전연령|앱단독|Two-sided Market(양면시장)</v>
      </c>
      <c r="Q92" s="12">
        <f t="shared" si="9"/>
        <v>1</v>
      </c>
      <c r="R92" s="12">
        <f t="shared" si="10"/>
        <v>84</v>
      </c>
      <c r="S92" s="26" t="s">
        <v>775</v>
      </c>
      <c r="T92" s="26" t="s">
        <v>776</v>
      </c>
    </row>
    <row r="93" ht="15.75" customHeight="1">
      <c r="A93" s="10" t="str">
        <f t="shared" si="7"/>
        <v>CP092</v>
      </c>
      <c r="B93" s="13" t="s">
        <v>777</v>
      </c>
      <c r="C93" s="13" t="s">
        <v>73</v>
      </c>
      <c r="D93" s="13" t="s">
        <v>74</v>
      </c>
      <c r="E93" s="13" t="s">
        <v>75</v>
      </c>
      <c r="F93" s="13" t="s">
        <v>48</v>
      </c>
      <c r="G93" s="13" t="s">
        <v>51</v>
      </c>
      <c r="H93" s="13" t="s">
        <v>778</v>
      </c>
      <c r="I93" s="13" t="s">
        <v>779</v>
      </c>
      <c r="J93" s="13" t="s">
        <v>780</v>
      </c>
      <c r="K93" s="13" t="s">
        <v>781</v>
      </c>
      <c r="L93" s="13" t="s">
        <v>89</v>
      </c>
      <c r="M93" s="13" t="s">
        <v>782</v>
      </c>
      <c r="N93" s="15">
        <v>46238.0</v>
      </c>
      <c r="O93" s="15">
        <v>46238.0</v>
      </c>
      <c r="P93" s="12" t="str">
        <f t="shared" si="8"/>
        <v>운동|데이터기록관리|헬스이용자, 웨이트트레이닝|앱단독+웨어러블연동|Freemium(프리미엄)</v>
      </c>
      <c r="Q93" s="12">
        <f t="shared" si="9"/>
        <v>1</v>
      </c>
      <c r="R93" s="12">
        <f t="shared" si="10"/>
        <v>85</v>
      </c>
      <c r="S93" s="26" t="s">
        <v>783</v>
      </c>
      <c r="T93" s="26" t="s">
        <v>784</v>
      </c>
    </row>
    <row r="94" ht="15.75" customHeight="1">
      <c r="A94" s="10" t="str">
        <f t="shared" si="7"/>
        <v>CP093</v>
      </c>
      <c r="B94" s="13" t="s">
        <v>785</v>
      </c>
      <c r="C94" s="13" t="s">
        <v>73</v>
      </c>
      <c r="D94" s="13" t="s">
        <v>74</v>
      </c>
      <c r="E94" s="13" t="s">
        <v>46</v>
      </c>
      <c r="F94" s="13" t="s">
        <v>48</v>
      </c>
      <c r="G94" s="13" t="s">
        <v>77</v>
      </c>
      <c r="H94" s="13" t="s">
        <v>786</v>
      </c>
      <c r="I94" s="13" t="s">
        <v>787</v>
      </c>
      <c r="J94" s="13" t="s">
        <v>788</v>
      </c>
      <c r="K94" s="13" t="s">
        <v>789</v>
      </c>
      <c r="L94" s="13" t="s">
        <v>89</v>
      </c>
      <c r="M94" s="13" t="s">
        <v>790</v>
      </c>
      <c r="N94" s="15">
        <v>46229.0</v>
      </c>
      <c r="O94" s="15">
        <v>46229.0</v>
      </c>
      <c r="P94" s="12" t="str">
        <f t="shared" si="8"/>
        <v>운동|데이터기록관리|러너, 사이클리스트|웨어러블연동 |Freemium(프리미엄)</v>
      </c>
      <c r="Q94" s="12">
        <f t="shared" si="9"/>
        <v>1</v>
      </c>
      <c r="R94" s="12">
        <f t="shared" si="10"/>
        <v>86</v>
      </c>
      <c r="S94" s="26" t="s">
        <v>791</v>
      </c>
      <c r="T94" s="26" t="s">
        <v>792</v>
      </c>
    </row>
    <row r="95" ht="15.75" customHeight="1">
      <c r="A95" s="10" t="str">
        <f t="shared" si="7"/>
        <v>CP094</v>
      </c>
      <c r="B95" s="13" t="s">
        <v>793</v>
      </c>
      <c r="C95" s="13" t="s">
        <v>73</v>
      </c>
      <c r="D95" s="13" t="s">
        <v>94</v>
      </c>
      <c r="E95" s="13" t="s">
        <v>794</v>
      </c>
      <c r="F95" s="13" t="s">
        <v>103</v>
      </c>
      <c r="G95" s="13" t="s">
        <v>51</v>
      </c>
      <c r="H95" s="13" t="s">
        <v>795</v>
      </c>
      <c r="I95" s="13" t="s">
        <v>54</v>
      </c>
      <c r="J95" s="13" t="s">
        <v>796</v>
      </c>
      <c r="K95" s="13" t="s">
        <v>797</v>
      </c>
      <c r="L95" s="13" t="s">
        <v>89</v>
      </c>
      <c r="M95" s="13" t="s">
        <v>798</v>
      </c>
      <c r="N95" s="15">
        <v>46229.0</v>
      </c>
      <c r="O95" s="15">
        <v>46229.0</v>
      </c>
      <c r="P95" s="12" t="str">
        <f t="shared" si="8"/>
        <v>운동|정보제공|홈트족, 다이어터|앱단독|Freemium(프리미엄)</v>
      </c>
      <c r="Q95" s="12">
        <f t="shared" si="9"/>
        <v>1</v>
      </c>
      <c r="R95" s="12">
        <f t="shared" si="10"/>
        <v>87</v>
      </c>
      <c r="S95" s="26" t="s">
        <v>799</v>
      </c>
      <c r="T95" s="26" t="s">
        <v>800</v>
      </c>
    </row>
    <row r="96" ht="15.75" customHeight="1">
      <c r="A96" s="10" t="str">
        <f t="shared" si="7"/>
        <v>CP095</v>
      </c>
      <c r="B96" s="13" t="s">
        <v>801</v>
      </c>
      <c r="C96" s="13" t="s">
        <v>73</v>
      </c>
      <c r="D96" s="13" t="s">
        <v>44</v>
      </c>
      <c r="E96" s="13" t="s">
        <v>794</v>
      </c>
      <c r="F96" s="13" t="s">
        <v>48</v>
      </c>
      <c r="G96" s="13" t="s">
        <v>51</v>
      </c>
      <c r="H96" s="13" t="s">
        <v>802</v>
      </c>
      <c r="I96" s="13" t="s">
        <v>54</v>
      </c>
      <c r="J96" s="13" t="s">
        <v>803</v>
      </c>
      <c r="K96" s="13" t="s">
        <v>804</v>
      </c>
      <c r="L96" s="13" t="s">
        <v>89</v>
      </c>
      <c r="M96" s="13" t="s">
        <v>805</v>
      </c>
      <c r="N96" s="15">
        <v>46229.0</v>
      </c>
      <c r="O96" s="15">
        <v>46229.0</v>
      </c>
      <c r="P96" s="12" t="str">
        <f t="shared" si="8"/>
        <v>운동|개입치료|PT희망자, 헬스초보자|앱단독|Freemium(프리미엄)</v>
      </c>
      <c r="Q96" s="12">
        <f t="shared" si="9"/>
        <v>1</v>
      </c>
      <c r="R96" s="12">
        <f t="shared" si="10"/>
        <v>88</v>
      </c>
      <c r="S96" s="26" t="s">
        <v>806</v>
      </c>
      <c r="T96" s="26" t="s">
        <v>807</v>
      </c>
    </row>
    <row r="97" ht="15.75" customHeight="1">
      <c r="A97" s="10" t="str">
        <f t="shared" si="7"/>
        <v>CP096</v>
      </c>
      <c r="B97" s="13" t="s">
        <v>808</v>
      </c>
      <c r="C97" s="13" t="s">
        <v>73</v>
      </c>
      <c r="D97" s="13" t="s">
        <v>44</v>
      </c>
      <c r="E97" s="13" t="s">
        <v>75</v>
      </c>
      <c r="F97" s="13" t="s">
        <v>48</v>
      </c>
      <c r="G97" s="13" t="s">
        <v>77</v>
      </c>
      <c r="H97" s="13" t="s">
        <v>809</v>
      </c>
      <c r="I97" s="13" t="s">
        <v>810</v>
      </c>
      <c r="J97" s="13" t="s">
        <v>811</v>
      </c>
      <c r="K97" s="13" t="s">
        <v>812</v>
      </c>
      <c r="L97" s="13" t="s">
        <v>356</v>
      </c>
      <c r="M97" s="13" t="s">
        <v>813</v>
      </c>
      <c r="N97" s="15">
        <v>46229.0</v>
      </c>
      <c r="O97" s="15">
        <v>46229.0</v>
      </c>
      <c r="P97" s="12" t="str">
        <f t="shared" si="8"/>
        <v>운동|개입치료|근골격계질환자, 수술후재활환자|앱단독+병원연계(스마트TV포함)|Digitization(디지털전환)</v>
      </c>
      <c r="Q97" s="12">
        <f t="shared" si="9"/>
        <v>1</v>
      </c>
      <c r="R97" s="12">
        <f t="shared" si="10"/>
        <v>89</v>
      </c>
      <c r="S97" s="26" t="s">
        <v>814</v>
      </c>
      <c r="T97" s="26" t="s">
        <v>815</v>
      </c>
    </row>
    <row r="98" ht="15.75" customHeight="1">
      <c r="A98" s="10" t="str">
        <f t="shared" si="7"/>
        <v>CP097</v>
      </c>
      <c r="B98" s="13" t="s">
        <v>816</v>
      </c>
      <c r="C98" s="13" t="s">
        <v>73</v>
      </c>
      <c r="D98" s="13" t="s">
        <v>44</v>
      </c>
      <c r="E98" s="13" t="s">
        <v>46</v>
      </c>
      <c r="F98" s="13" t="s">
        <v>103</v>
      </c>
      <c r="G98" s="13" t="s">
        <v>51</v>
      </c>
      <c r="H98" s="13" t="s">
        <v>817</v>
      </c>
      <c r="I98" s="13" t="s">
        <v>54</v>
      </c>
      <c r="J98" s="13" t="s">
        <v>818</v>
      </c>
      <c r="K98" s="13" t="s">
        <v>819</v>
      </c>
      <c r="L98" s="13" t="s">
        <v>89</v>
      </c>
      <c r="M98" s="13" t="s">
        <v>820</v>
      </c>
      <c r="N98" s="15">
        <v>46229.0</v>
      </c>
      <c r="O98" s="15">
        <v>46229.0</v>
      </c>
      <c r="P98" s="12" t="str">
        <f t="shared" si="8"/>
        <v>운동|개입치료|안구피로, 시력관리관심층|앱단독|Freemium(프리미엄)</v>
      </c>
      <c r="Q98" s="12">
        <f t="shared" si="9"/>
        <v>1</v>
      </c>
      <c r="R98" s="12">
        <f t="shared" si="10"/>
        <v>90</v>
      </c>
      <c r="S98" s="26" t="s">
        <v>821</v>
      </c>
      <c r="T98" s="26" t="s">
        <v>822</v>
      </c>
    </row>
    <row r="99" ht="15.75" customHeight="1">
      <c r="A99" s="10" t="str">
        <f t="shared" si="7"/>
        <v>CP098</v>
      </c>
      <c r="B99" s="13" t="s">
        <v>823</v>
      </c>
      <c r="C99" s="13" t="s">
        <v>73</v>
      </c>
      <c r="D99" s="13" t="s">
        <v>94</v>
      </c>
      <c r="E99" s="13" t="s">
        <v>75</v>
      </c>
      <c r="F99" s="13" t="s">
        <v>103</v>
      </c>
      <c r="G99" s="13" t="s">
        <v>51</v>
      </c>
      <c r="H99" s="13" t="s">
        <v>824</v>
      </c>
      <c r="I99" s="13" t="s">
        <v>825</v>
      </c>
      <c r="J99" s="13" t="s">
        <v>826</v>
      </c>
      <c r="K99" s="13" t="s">
        <v>827</v>
      </c>
      <c r="L99" s="13" t="s">
        <v>89</v>
      </c>
      <c r="M99" s="13" t="s">
        <v>828</v>
      </c>
      <c r="N99" s="15">
        <v>46229.0</v>
      </c>
      <c r="O99" s="15">
        <v>46229.0</v>
      </c>
      <c r="P99" s="12" t="str">
        <f t="shared" si="8"/>
        <v>운동|정보제공|홈트족, 전연령|웨어러블연동(스마트사이클)|Freemium(프리미엄)</v>
      </c>
      <c r="Q99" s="12">
        <f t="shared" si="9"/>
        <v>1</v>
      </c>
      <c r="R99" s="12">
        <f t="shared" si="10"/>
        <v>91</v>
      </c>
      <c r="S99" s="26" t="s">
        <v>829</v>
      </c>
      <c r="T99" s="26" t="s">
        <v>830</v>
      </c>
    </row>
    <row r="100" ht="15.75" customHeight="1">
      <c r="A100" s="10" t="str">
        <f t="shared" si="7"/>
        <v>CP099</v>
      </c>
      <c r="B100" s="13" t="s">
        <v>831</v>
      </c>
      <c r="C100" s="13" t="s">
        <v>73</v>
      </c>
      <c r="D100" s="13" t="s">
        <v>94</v>
      </c>
      <c r="E100" s="13" t="s">
        <v>46</v>
      </c>
      <c r="F100" s="13" t="s">
        <v>103</v>
      </c>
      <c r="G100" s="13" t="s">
        <v>51</v>
      </c>
      <c r="H100" s="13" t="s">
        <v>832</v>
      </c>
      <c r="I100" s="13" t="s">
        <v>54</v>
      </c>
      <c r="J100" s="13" t="s">
        <v>833</v>
      </c>
      <c r="K100" s="13" t="s">
        <v>834</v>
      </c>
      <c r="L100" s="13" t="s">
        <v>89</v>
      </c>
      <c r="M100" s="13" t="s">
        <v>835</v>
      </c>
      <c r="N100" s="15">
        <v>46229.0</v>
      </c>
      <c r="O100" s="15">
        <v>46229.0</v>
      </c>
      <c r="P100" s="12" t="str">
        <f t="shared" si="8"/>
        <v>운동|정보제공|홈트족, 운동초보자|앱단독|Freemium(프리미엄)</v>
      </c>
      <c r="Q100" s="12">
        <f t="shared" si="9"/>
        <v>1</v>
      </c>
      <c r="R100" s="12">
        <f t="shared" si="10"/>
        <v>92</v>
      </c>
      <c r="S100" s="26" t="s">
        <v>836</v>
      </c>
      <c r="T100" s="26" t="s">
        <v>837</v>
      </c>
    </row>
    <row r="101" ht="15.75" customHeight="1">
      <c r="A101" s="10" t="str">
        <f t="shared" si="7"/>
        <v>CP100</v>
      </c>
      <c r="B101" s="13" t="s">
        <v>838</v>
      </c>
      <c r="C101" s="13" t="s">
        <v>73</v>
      </c>
      <c r="D101" s="13" t="s">
        <v>44</v>
      </c>
      <c r="E101" s="13" t="s">
        <v>75</v>
      </c>
      <c r="F101" s="13" t="s">
        <v>103</v>
      </c>
      <c r="G101" s="13" t="s">
        <v>51</v>
      </c>
      <c r="H101" s="13" t="s">
        <v>839</v>
      </c>
      <c r="I101" s="13" t="s">
        <v>840</v>
      </c>
      <c r="J101" s="13" t="s">
        <v>841</v>
      </c>
      <c r="K101" s="13" t="s">
        <v>842</v>
      </c>
      <c r="L101" s="13" t="s">
        <v>124</v>
      </c>
      <c r="M101" s="13" t="s">
        <v>843</v>
      </c>
      <c r="N101" s="15">
        <v>46238.0</v>
      </c>
      <c r="O101" s="15">
        <v>46238.0</v>
      </c>
      <c r="P101" s="12" t="str">
        <f t="shared" si="8"/>
        <v>운동|개입치료|다이어터, PT희망자, 전연령|웹서비스(비대면코칭)|Subscription(구독형)</v>
      </c>
      <c r="Q101" s="12">
        <f t="shared" si="9"/>
        <v>1</v>
      </c>
      <c r="R101" s="12">
        <f t="shared" si="10"/>
        <v>93</v>
      </c>
      <c r="S101" s="26" t="s">
        <v>844</v>
      </c>
      <c r="T101" s="26" t="s">
        <v>845</v>
      </c>
    </row>
    <row r="102" ht="15.75" customHeight="1">
      <c r="A102" s="26" t="s">
        <v>846</v>
      </c>
      <c r="B102" s="26" t="s">
        <v>847</v>
      </c>
      <c r="C102" s="26" t="s">
        <v>512</v>
      </c>
      <c r="D102" s="26" t="s">
        <v>74</v>
      </c>
      <c r="E102" s="26" t="s">
        <v>619</v>
      </c>
      <c r="F102" s="26" t="s">
        <v>103</v>
      </c>
      <c r="G102" s="26" t="s">
        <v>51</v>
      </c>
      <c r="H102" s="26" t="s">
        <v>279</v>
      </c>
      <c r="I102" s="26" t="s">
        <v>54</v>
      </c>
      <c r="J102" s="26" t="s">
        <v>848</v>
      </c>
      <c r="K102" s="26" t="s">
        <v>849</v>
      </c>
      <c r="L102" s="26" t="s">
        <v>124</v>
      </c>
      <c r="M102" s="26" t="s">
        <v>850</v>
      </c>
      <c r="S102" s="26" t="s">
        <v>851</v>
      </c>
      <c r="T102" s="26" t="s">
        <v>852</v>
      </c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F2:F101">
      <formula1>"플랫폼,카테고리리더,일반경쟁자"</formula1>
    </dataValidation>
    <dataValidation type="list" allowBlank="1" sqref="L2:L101">
      <formula1>"Freemium(프리미엄),Subscription(구독형),Add-on(애드온),Lock-in(락인),Two-sided Market(양면시장),Pay Per Use(사용량과금),Sensor As A Service(센서서비스),Leverage Customer Data(데이터활용),Digitization(디지털전환),Self-service(셀프서비스),Performance-based Contracting(성과기반계약),Razor And Blade(레이저블레"</formula1>
    </dataValidation>
    <dataValidation type="list" allowBlank="1" sqref="C2:C101">
      <formula1>"수면,정신건강,운동,식단,만성질환,여성건강,유전자,미용"</formula1>
    </dataValidation>
    <dataValidation type="list" allowBlank="1" sqref="G2:G101">
      <formula1>"라이프스타일,생체지표"</formula1>
    </dataValidation>
    <dataValidation type="list" allowBlank="1" sqref="D2:D101">
      <formula1>"정보제공,데이터기록관리,매칭연결,개입치료"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2.0"/>
    <col customWidth="1" min="3" max="3" width="14.0"/>
    <col customWidth="1" min="4" max="4" width="20.0"/>
    <col customWidth="1" min="5" max="5" width="16.0"/>
    <col customWidth="1" min="6" max="6" width="26.0"/>
    <col customWidth="1" min="7" max="7" width="14.0"/>
    <col customWidth="1" min="8" max="9" width="16.0"/>
    <col customWidth="1" min="10" max="10" width="34.0"/>
    <col customWidth="1" min="11" max="11" width="12.0"/>
    <col customWidth="1" min="12" max="12" width="14.0"/>
    <col customWidth="1" min="13" max="26" width="8.71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</row>
    <row r="2">
      <c r="A2" s="8" t="str">
        <f t="shared" ref="A2:A61" si="1">IF(B2="","","BM"&amp;TEXT(ROW()-1,"000"))</f>
        <v>BM001</v>
      </c>
      <c r="B2" s="10" t="str">
        <f t="array" ref="B2">IFERROR(INDEX(competitors!$C$2:$C$101,MATCH(1,competitors!$R$2:$R$101,0)),"")</f>
        <v>식단</v>
      </c>
      <c r="C2" s="10" t="str">
        <f t="array" ref="C2">IFERROR(INDEX(competitors!$D$2:$D$101,MATCH(1,competitors!$R$2:$R$101,0)),"")</f>
        <v>개입치료</v>
      </c>
      <c r="D2" s="10" t="str">
        <f t="array" ref="D2">IFERROR(INDEX(competitors!$H$2:$H$101,MATCH(1,competitors!$R$2:$R$101,0)),"")</f>
        <v>다이어터,20-40대</v>
      </c>
      <c r="E2" s="10" t="str">
        <f t="array" ref="E2">IFERROR(INDEX(competitors!$I$2:$I$101,MATCH(1,competitors!$R$2:$R$101,0)),"")</f>
        <v>앱단독</v>
      </c>
      <c r="F2" s="10" t="str">
        <f t="array" ref="F2">IFERROR(INDEX(competitors!$L$2:$L$101,MATCH(1,competitors!$R$2:$R$101,0)),"")</f>
        <v>Subscription(구독형)</v>
      </c>
      <c r="G2" s="10">
        <f>IF(B2="","",COUNTIFS(competitors!$C$2:$C$101,B2,competitors!$D$2:$D$101,C2,competitors!$H$2:$H$101,D2,competitors!$I$2:$I$101,E2,competitors!$L$2:$L$101,F2,competitors!$E$2:$E$101,"한국"))</f>
        <v>0</v>
      </c>
      <c r="H2" s="10">
        <f>IF(B2="","",COUNTIFS(competitors!$C$2:$C$101,B2,competitors!$D$2:$D$101,C2,competitors!$H$2:$H$101,D2,competitors!$I$2:$I$101,E2,competitors!$L$2:$L$101,F2))</f>
        <v>1</v>
      </c>
      <c r="I2" s="10" t="str">
        <f t="shared" ref="I2:I61" si="2">IF(B2="","",IF(G2&gt;=5,"많음",IF(G2&gt;=3,"중간",IF(G2&gt;=1,"적음",IF(H2&gt;=1,"가능","어려움")))))</f>
        <v>가능</v>
      </c>
      <c r="J2" s="10" t="str">
        <f t="array" ref="J2">IF(B2="","",TEXTJOIN(", ",TRUE(),IF((competitors!$C$2:$C$101=B2)*(competitors!$D$2:$D$101=C2)*(competitors!$H$2:$H$101=D2)*(competitors!$I$2:$I$101=E2)*(competitors!$L$2:$L$101=F2),competitors!$B$2:$B$101,"")))</f>
        <v>눔(Noom)</v>
      </c>
      <c r="K2" s="14"/>
      <c r="L2" s="16">
        <f t="shared" ref="L2:L61" si="3">IF(B2="","",TODAY())</f>
        <v>46248</v>
      </c>
    </row>
    <row r="3">
      <c r="A3" s="8" t="str">
        <f t="shared" si="1"/>
        <v>BM002</v>
      </c>
      <c r="B3" s="10" t="str">
        <f t="array" ref="B3">IFERROR(INDEX(competitors!$C$2:$C$101,MATCH(2,competitors!$R$2:$R$101,0)),"")</f>
        <v>운동</v>
      </c>
      <c r="C3" s="10" t="str">
        <f t="array" ref="C3">IFERROR(INDEX(competitors!$D$2:$D$101,MATCH(2,competitors!$R$2:$R$101,0)),"")</f>
        <v>데이터기록관리</v>
      </c>
      <c r="D3" s="10" t="str">
        <f t="array" ref="D3">IFERROR(INDEX(competitors!$H$2:$H$101,MATCH(2,competitors!$R$2:$R$101,0)),"")</f>
        <v>전연령</v>
      </c>
      <c r="E3" s="10" t="str">
        <f t="array" ref="E3">IFERROR(INDEX(competitors!$I$2:$I$101,MATCH(2,competitors!$R$2:$R$101,0)),"")</f>
        <v>웨어러블연동</v>
      </c>
      <c r="F3" s="10" t="str">
        <f t="array" ref="F3">IFERROR(INDEX(competitors!$L$2:$L$101,MATCH(2,competitors!$R$2:$R$101,0)),"")</f>
        <v>Lock-in(락인)</v>
      </c>
      <c r="G3" s="10">
        <f>IF(B3="","",COUNTIFS(competitors!$C$2:$C$101,B3,competitors!$D$2:$D$101,C3,competitors!$H$2:$H$101,D3,competitors!$I$2:$I$101,E3,competitors!$L$2:$L$101,F3,competitors!$E$2:$E$101,"한국"))</f>
        <v>2</v>
      </c>
      <c r="H3" s="10">
        <f>IF(B3="","",COUNTIFS(competitors!$C$2:$C$101,B3,competitors!$D$2:$D$101,C3,competitors!$H$2:$H$101,D3,competitors!$I$2:$I$101,E3,competitors!$L$2:$L$101,F3))</f>
        <v>2</v>
      </c>
      <c r="I3" s="10" t="str">
        <f t="shared" si="2"/>
        <v>적음</v>
      </c>
      <c r="J3" s="10" t="str">
        <f t="array" ref="J3">IF(B3="","",TEXTJOIN(", ",TRUE(),IF((competitors!$C$2:$C$101=B3)*(competitors!$D$2:$D$101=C3)*(competitors!$H$2:$H$101=D3)*(competitors!$I$2:$I$101=E3)*(competitors!$L$2:$L$101=F3),competitors!$B$2:$B$101,"")))</f>
        <v>삼성헬스, 삼성헬스</v>
      </c>
      <c r="K3" s="14"/>
      <c r="L3" s="16">
        <f t="shared" si="3"/>
        <v>46248</v>
      </c>
    </row>
    <row r="4">
      <c r="A4" s="8" t="str">
        <f t="shared" si="1"/>
        <v>BM003</v>
      </c>
      <c r="B4" s="10" t="str">
        <f t="array" ref="B4">IFERROR(INDEX(competitors!$C$2:$C$101,MATCH(3,competitors!$R$2:$R$101,0)),"")</f>
        <v>여성건강</v>
      </c>
      <c r="C4" s="10" t="str">
        <f t="array" ref="C4">IFERROR(INDEX(competitors!$D$2:$D$101,MATCH(3,competitors!$R$2:$R$101,0)),"")</f>
        <v>데이터기록관리</v>
      </c>
      <c r="D4" s="10" t="str">
        <f t="array" ref="D4">IFERROR(INDEX(competitors!$H$2:$H$101,MATCH(3,competitors!$R$2:$R$101,0)),"")</f>
        <v>가임기 여성</v>
      </c>
      <c r="E4" s="10" t="str">
        <f t="array" ref="E4">IFERROR(INDEX(competitors!$I$2:$I$101,MATCH(3,competitors!$R$2:$R$101,0)),"")</f>
        <v>앱단독</v>
      </c>
      <c r="F4" s="10" t="str">
        <f t="array" ref="F4">IFERROR(INDEX(competitors!$L$2:$L$101,MATCH(3,competitors!$R$2:$R$101,0)),"")</f>
        <v>Freemium(프리미엄)</v>
      </c>
      <c r="G4" s="10">
        <f>IF(B4="","",COUNTIFS(competitors!$C$2:$C$101,B4,competitors!$D$2:$D$101,C4,competitors!$H$2:$H$101,D4,competitors!$I$2:$I$101,E4,competitors!$L$2:$L$101,F4,competitors!$E$2:$E$101,"한국"))</f>
        <v>1</v>
      </c>
      <c r="H4" s="10">
        <f>IF(B4="","",COUNTIFS(competitors!$C$2:$C$101,B4,competitors!$D$2:$D$101,C4,competitors!$H$2:$H$101,D4,competitors!$I$2:$I$101,E4,competitors!$L$2:$L$101,F4))</f>
        <v>1</v>
      </c>
      <c r="I4" s="10" t="str">
        <f t="shared" si="2"/>
        <v>적음</v>
      </c>
      <c r="J4" s="10" t="str">
        <f t="array" ref="J4">IF(B4="","",TEXTJOIN(", ",TRUE(),IF((competitors!$C$2:$C$101=B4)*(competitors!$D$2:$D$101=C4)*(competitors!$H$2:$H$101=D4)*(competitors!$I$2:$I$101=E4)*(competitors!$L$2:$L$101=F4),competitors!$B$2:$B$101,"")))</f>
        <v>핑크 다이어리</v>
      </c>
      <c r="K4" s="14"/>
      <c r="L4" s="16">
        <f t="shared" si="3"/>
        <v>46248</v>
      </c>
    </row>
    <row r="5">
      <c r="A5" s="8" t="str">
        <f t="shared" si="1"/>
        <v>BM004</v>
      </c>
      <c r="B5" s="10" t="str">
        <f t="array" ref="B5">IFERROR(INDEX(competitors!$C$2:$C$101,MATCH(4,competitors!$R$2:$R$101,0)),"")</f>
        <v>여성건강</v>
      </c>
      <c r="C5" s="10" t="str">
        <f t="array" ref="C5">IFERROR(INDEX(competitors!$D$2:$D$101,MATCH(4,competitors!$R$2:$R$101,0)),"")</f>
        <v>정보제공</v>
      </c>
      <c r="D5" s="10" t="str">
        <f t="array" ref="D5">IFERROR(INDEX(competitors!$H$2:$H$101,MATCH(4,competitors!$R$2:$R$101,0)),"")</f>
        <v>임산부,초보양육자</v>
      </c>
      <c r="E5" s="10" t="str">
        <f t="array" ref="E5">IFERROR(INDEX(competitors!$I$2:$I$101,MATCH(4,competitors!$R$2:$R$101,0)),"")</f>
        <v>앱단독</v>
      </c>
      <c r="F5" s="10" t="str">
        <f t="array" ref="F5">IFERROR(INDEX(competitors!$L$2:$L$101,MATCH(4,competitors!$R$2:$R$101,0)),"")</f>
        <v>Two-sided Market(양면시장)</v>
      </c>
      <c r="G5" s="10">
        <f>IF(B5="","",COUNTIFS(competitors!$C$2:$C$101,B5,competitors!$D$2:$D$101,C5,competitors!$H$2:$H$101,D5,competitors!$I$2:$I$101,E5,competitors!$L$2:$L$101,F5,competitors!$E$2:$E$101,"한국"))</f>
        <v>1</v>
      </c>
      <c r="H5" s="10">
        <f>IF(B5="","",COUNTIFS(competitors!$C$2:$C$101,B5,competitors!$D$2:$D$101,C5,competitors!$H$2:$H$101,D5,competitors!$I$2:$I$101,E5,competitors!$L$2:$L$101,F5))</f>
        <v>1</v>
      </c>
      <c r="I5" s="10" t="str">
        <f t="shared" si="2"/>
        <v>적음</v>
      </c>
      <c r="J5" s="10" t="str">
        <f t="array" ref="J5">IF(B5="","",TEXTJOIN(", ",TRUE(),IF((competitors!$C$2:$C$101=B5)*(competitors!$D$2:$D$101=C5)*(competitors!$H$2:$H$101=D5)*(competitors!$I$2:$I$101=E5)*(competitors!$L$2:$L$101=F5),competitors!$B$2:$B$101,"")))</f>
        <v>마미톡</v>
      </c>
      <c r="K5" s="14"/>
      <c r="L5" s="16">
        <f t="shared" si="3"/>
        <v>46248</v>
      </c>
    </row>
    <row r="6">
      <c r="A6" s="8" t="str">
        <f t="shared" si="1"/>
        <v>BM005</v>
      </c>
      <c r="B6" s="10" t="str">
        <f t="array" ref="B6">IFERROR(INDEX(competitors!$C$2:$C$101,MATCH(5,competitors!$R$2:$R$101,0)),"")</f>
        <v>여성건강</v>
      </c>
      <c r="C6" s="10" t="str">
        <f t="array" ref="C6">IFERROR(INDEX(competitors!$D$2:$D$101,MATCH(5,competitors!$R$2:$R$101,0)),"")</f>
        <v>개입치료</v>
      </c>
      <c r="D6" s="10" t="str">
        <f t="array" ref="D6">IFERROR(INDEX(competitors!$H$2:$H$101,MATCH(5,competitors!$R$2:$R$101,0)),"")</f>
        <v>난임부부</v>
      </c>
      <c r="E6" s="10" t="str">
        <f t="array" ref="E6">IFERROR(INDEX(competitors!$I$2:$I$101,MATCH(5,competitors!$R$2:$R$101,0)),"")</f>
        <v>B2B2C(기업복지제휴)</v>
      </c>
      <c r="F6" s="10" t="str">
        <f t="array" ref="F6">IFERROR(INDEX(competitors!$L$2:$L$101,MATCH(5,competitors!$R$2:$R$101,0)),"")</f>
        <v>Performance-based Contracting(성과기반계약)</v>
      </c>
      <c r="G6" s="10">
        <f>IF(B6="","",COUNTIFS(competitors!$C$2:$C$101,B6,competitors!$D$2:$D$101,C6,competitors!$H$2:$H$101,D6,competitors!$I$2:$I$101,E6,competitors!$L$2:$L$101,F6,competitors!$E$2:$E$101,"한국"))</f>
        <v>1</v>
      </c>
      <c r="H6" s="10">
        <f>IF(B6="","",COUNTIFS(competitors!$C$2:$C$101,B6,competitors!$D$2:$D$101,C6,competitors!$H$2:$H$101,D6,competitors!$I$2:$I$101,E6,competitors!$L$2:$L$101,F6))</f>
        <v>1</v>
      </c>
      <c r="I6" s="10" t="str">
        <f t="shared" si="2"/>
        <v>적음</v>
      </c>
      <c r="J6" s="10" t="str">
        <f t="array" ref="J6">IF(B6="","",TEXTJOIN(", ",TRUE(),IF((competitors!$C$2:$C$101=B6)*(competitors!$D$2:$D$101=C6)*(competitors!$H$2:$H$101=D6)*(competitors!$I$2:$I$101=E6)*(competitors!$L$2:$L$101=F6),competitors!$B$2:$B$101,"")))</f>
        <v>블룸</v>
      </c>
      <c r="K6" s="14"/>
      <c r="L6" s="16">
        <f t="shared" si="3"/>
        <v>46248</v>
      </c>
    </row>
    <row r="7">
      <c r="A7" s="8" t="str">
        <f t="shared" si="1"/>
        <v>BM006</v>
      </c>
      <c r="B7" s="10" t="str">
        <f t="array" ref="B7">IFERROR(INDEX(competitors!$C$2:$C$101,MATCH(6,competitors!$R$2:$R$101,0)),"")</f>
        <v>여성건강</v>
      </c>
      <c r="C7" s="10" t="str">
        <f t="array" ref="C7">IFERROR(INDEX(competitors!$D$2:$D$101,MATCH(6,competitors!$R$2:$R$101,0)),"")</f>
        <v>정보제공</v>
      </c>
      <c r="D7" s="10" t="str">
        <f t="array" ref="D7">IFERROR(INDEX(competitors!$H$2:$H$101,MATCH(6,competitors!$R$2:$R$101,0)),"")</f>
        <v>여성 전연령</v>
      </c>
      <c r="E7" s="10" t="str">
        <f t="array" ref="E7">IFERROR(INDEX(competitors!$I$2:$I$101,MATCH(6,competitors!$R$2:$R$101,0)),"")</f>
        <v>앱단독</v>
      </c>
      <c r="F7" s="10" t="str">
        <f t="array" ref="F7">IFERROR(INDEX(competitors!$L$2:$L$101,MATCH(6,competitors!$R$2:$R$101,0)),"")</f>
        <v>Freemium(프리미엄)</v>
      </c>
      <c r="G7" s="10">
        <f>IF(B7="","",COUNTIFS(competitors!$C$2:$C$101,B7,competitors!$D$2:$D$101,C7,competitors!$H$2:$H$101,D7,competitors!$I$2:$I$101,E7,competitors!$L$2:$L$101,F7,competitors!$E$2:$E$101,"한국"))</f>
        <v>1</v>
      </c>
      <c r="H7" s="10">
        <f>IF(B7="","",COUNTIFS(competitors!$C$2:$C$101,B7,competitors!$D$2:$D$101,C7,competitors!$H$2:$H$101,D7,competitors!$I$2:$I$101,E7,competitors!$L$2:$L$101,F7))</f>
        <v>1</v>
      </c>
      <c r="I7" s="10" t="str">
        <f t="shared" si="2"/>
        <v>적음</v>
      </c>
      <c r="J7" s="10" t="str">
        <f t="array" ref="J7">IF(B7="","",TEXTJOIN(", ",TRUE(),IF((competitors!$C$2:$C$101=B7)*(competitors!$D$2:$D$101=C7)*(competitors!$H$2:$H$101=D7)*(competitors!$I$2:$I$101=E7)*(competitors!$L$2:$L$101=F7),competitors!$B$2:$B$101,"")))</f>
        <v>자기만의방</v>
      </c>
      <c r="K7" s="14"/>
      <c r="L7" s="16">
        <f t="shared" si="3"/>
        <v>46248</v>
      </c>
    </row>
    <row r="8">
      <c r="A8" s="8" t="str">
        <f t="shared" si="1"/>
        <v>BM007</v>
      </c>
      <c r="B8" s="10" t="str">
        <f t="array" ref="B8">IFERROR(INDEX(competitors!$C$2:$C$101,MATCH(7,competitors!$R$2:$R$101,0)),"")</f>
        <v>여성건강</v>
      </c>
      <c r="C8" s="10" t="str">
        <f t="array" ref="C8">IFERROR(INDEX(competitors!$D$2:$D$101,MATCH(7,competitors!$R$2:$R$101,0)),"")</f>
        <v>개입치료</v>
      </c>
      <c r="D8" s="10" t="str">
        <f t="array" ref="D8">IFERROR(INDEX(competitors!$H$2:$H$101,MATCH(7,competitors!$R$2:$R$101,0)),"")</f>
        <v>가임기여성</v>
      </c>
      <c r="E8" s="10" t="str">
        <f t="array" ref="E8">IFERROR(INDEX(competitors!$I$2:$I$101,MATCH(7,competitors!$R$2:$R$101,0)),"")</f>
        <v>D2C구독</v>
      </c>
      <c r="F8" s="10" t="str">
        <f t="array" ref="F8">IFERROR(INDEX(competitors!$L$2:$L$101,MATCH(7,competitors!$R$2:$R$101,0)),"")</f>
        <v>Subscription(구독형)</v>
      </c>
      <c r="G8" s="10">
        <f>IF(B8="","",COUNTIFS(competitors!$C$2:$C$101,B8,competitors!$D$2:$D$101,C8,competitors!$H$2:$H$101,D8,competitors!$I$2:$I$101,E8,competitors!$L$2:$L$101,F8,competitors!$E$2:$E$101,"한국"))</f>
        <v>1</v>
      </c>
      <c r="H8" s="10">
        <f>IF(B8="","",COUNTIFS(competitors!$C$2:$C$101,B8,competitors!$D$2:$D$101,C8,competitors!$H$2:$H$101,D8,competitors!$I$2:$I$101,E8,competitors!$L$2:$L$101,F8))</f>
        <v>1</v>
      </c>
      <c r="I8" s="10" t="str">
        <f t="shared" si="2"/>
        <v>적음</v>
      </c>
      <c r="J8" s="10" t="str">
        <f t="array" ref="J8">IF(B8="","",TEXTJOIN(", ",TRUE(),IF((competitors!$C$2:$C$101=B8)*(competitors!$D$2:$D$101=C8)*(competitors!$H$2:$H$101=D8)*(competitors!$I$2:$I$101=E8)*(competitors!$L$2:$L$101=F8),competitors!$B$2:$B$101,"")))</f>
        <v>해피문데이</v>
      </c>
      <c r="K8" s="14"/>
      <c r="L8" s="16">
        <f t="shared" si="3"/>
        <v>46248</v>
      </c>
    </row>
    <row r="9">
      <c r="A9" s="8" t="str">
        <f t="shared" si="1"/>
        <v>BM008</v>
      </c>
      <c r="B9" s="10" t="str">
        <f t="array" ref="B9">IFERROR(INDEX(competitors!$C$2:$C$101,MATCH(8,competitors!$R$2:$R$101,0)),"")</f>
        <v>여성건강</v>
      </c>
      <c r="C9" s="10" t="str">
        <f t="array" ref="C9">IFERROR(INDEX(competitors!$D$2:$D$101,MATCH(8,competitors!$R$2:$R$101,0)),"")</f>
        <v>정보제공</v>
      </c>
      <c r="D9" s="10" t="str">
        <f t="array" ref="D9">IFERROR(INDEX(competitors!$H$2:$H$101,MATCH(8,competitors!$R$2:$R$101,0)),"")</f>
        <v>2030 여성 </v>
      </c>
      <c r="E9" s="10" t="str">
        <f t="array" ref="E9">IFERROR(INDEX(competitors!$I$2:$I$101,MATCH(8,competitors!$R$2:$R$101,0)),"")</f>
        <v>웹/커머스</v>
      </c>
      <c r="F9" s="10" t="str">
        <f t="array" ref="F9">IFERROR(INDEX(competitors!$L$2:$L$101,MATCH(8,competitors!$R$2:$R$101,0)),"")</f>
        <v>Add-on(애드온)</v>
      </c>
      <c r="G9" s="10">
        <f>IF(B9="","",COUNTIFS(competitors!$C$2:$C$101,B9,competitors!$D$2:$D$101,C9,competitors!$H$2:$H$101,D9,competitors!$I$2:$I$101,E9,competitors!$L$2:$L$101,F9,competitors!$E$2:$E$101,"한국"))</f>
        <v>1</v>
      </c>
      <c r="H9" s="10">
        <f>IF(B9="","",COUNTIFS(competitors!$C$2:$C$101,B9,competitors!$D$2:$D$101,C9,competitors!$H$2:$H$101,D9,competitors!$I$2:$I$101,E9,competitors!$L$2:$L$101,F9))</f>
        <v>1</v>
      </c>
      <c r="I9" s="10" t="str">
        <f t="shared" si="2"/>
        <v>적음</v>
      </c>
      <c r="J9" s="10" t="str">
        <f t="array" ref="J9">IF(B9="","",TEXTJOIN(", ",TRUE(),IF((competitors!$C$2:$C$101=B9)*(competitors!$D$2:$D$101=C9)*(competitors!$H$2:$H$101=D9)*(competitors!$I$2:$I$101=E9)*(competitors!$L$2:$L$101=F9),competitors!$B$2:$B$101,"")))</f>
        <v>렛허</v>
      </c>
      <c r="K9" s="14"/>
      <c r="L9" s="16">
        <f t="shared" si="3"/>
        <v>46248</v>
      </c>
    </row>
    <row r="10">
      <c r="A10" s="8" t="str">
        <f t="shared" si="1"/>
        <v>BM009</v>
      </c>
      <c r="B10" s="10" t="str">
        <f t="array" ref="B10">IFERROR(INDEX(competitors!$C$2:$C$101,MATCH(9,competitors!$R$2:$R$101,0)),"")</f>
        <v>여성건강</v>
      </c>
      <c r="C10" s="10" t="str">
        <f t="array" ref="C10">IFERROR(INDEX(competitors!$D$2:$D$101,MATCH(9,competitors!$R$2:$R$101,0)),"")</f>
        <v>데이터기록관리</v>
      </c>
      <c r="D10" s="10" t="str">
        <f t="array" ref="D10">IFERROR(INDEX(competitors!$H$2:$H$101,MATCH(9,competitors!$R$2:$R$101,0)),"")</f>
        <v>가임기여성</v>
      </c>
      <c r="E10" s="10" t="str">
        <f t="array" ref="E10">IFERROR(INDEX(competitors!$I$2:$I$101,MATCH(9,competitors!$R$2:$R$101,0)),"")</f>
        <v>앱단독</v>
      </c>
      <c r="F10" s="10" t="str">
        <f t="array" ref="F10">IFERROR(INDEX(competitors!$L$2:$L$101,MATCH(9,competitors!$R$2:$R$101,0)),"")</f>
        <v>Leverage Customer Data(데이터활용)</v>
      </c>
      <c r="G10" s="10">
        <f>IF(B10="","",COUNTIFS(competitors!$C$2:$C$101,B10,competitors!$D$2:$D$101,C10,competitors!$H$2:$H$101,D10,competitors!$I$2:$I$101,E10,competitors!$L$2:$L$101,F10,competitors!$E$2:$E$101,"한국"))</f>
        <v>1</v>
      </c>
      <c r="H10" s="10">
        <f>IF(B10="","",COUNTIFS(competitors!$C$2:$C$101,B10,competitors!$D$2:$D$101,C10,competitors!$H$2:$H$101,D10,competitors!$I$2:$I$101,E10,competitors!$L$2:$L$101,F10))</f>
        <v>1</v>
      </c>
      <c r="I10" s="10" t="str">
        <f t="shared" si="2"/>
        <v>적음</v>
      </c>
      <c r="J10" s="10" t="str">
        <f t="array" ref="J10">IF(B10="","",TEXTJOIN(", ",TRUE(),IF((competitors!$C$2:$C$101=B10)*(competitors!$D$2:$D$101=C10)*(competitors!$H$2:$H$101=D10)*(competitors!$I$2:$I$101=E10)*(competitors!$L$2:$L$101=F10),competitors!$B$2:$B$101,"")))</f>
        <v>달채비</v>
      </c>
      <c r="K10" s="14"/>
      <c r="L10" s="16">
        <f t="shared" si="3"/>
        <v>46248</v>
      </c>
    </row>
    <row r="11">
      <c r="A11" s="8" t="str">
        <f t="shared" si="1"/>
        <v>BM010</v>
      </c>
      <c r="B11" s="10" t="str">
        <f t="array" ref="B11">IFERROR(INDEX(competitors!$C$2:$C$101,MATCH(10,competitors!$R$2:$R$101,0)),"")</f>
        <v>여성건강</v>
      </c>
      <c r="C11" s="10" t="str">
        <f t="array" ref="C11">IFERROR(INDEX(competitors!$D$2:$D$101,MATCH(10,competitors!$R$2:$R$101,0)),"")</f>
        <v>데이터기록관리</v>
      </c>
      <c r="D11" s="10" t="str">
        <f t="array" ref="D11">IFERROR(INDEX(competitors!$H$2:$H$101,MATCH(10,competitors!$R$2:$R$101,0)),"")</f>
        <v>여성 전연령(청소년 포함)</v>
      </c>
      <c r="E11" s="10" t="str">
        <f t="array" ref="E11">IFERROR(INDEX(competitors!$I$2:$I$101,MATCH(10,competitors!$R$2:$R$101,0)),"")</f>
        <v>앱단독</v>
      </c>
      <c r="F11" s="10" t="str">
        <f t="array" ref="F11">IFERROR(INDEX(competitors!$L$2:$L$101,MATCH(10,competitors!$R$2:$R$101,0)),"")</f>
        <v>Leverage Customer Data(데이터활용)</v>
      </c>
      <c r="G11" s="10">
        <f>IF(B11="","",COUNTIFS(competitors!$C$2:$C$101,B11,competitors!$D$2:$D$101,C11,competitors!$H$2:$H$101,D11,competitors!$I$2:$I$101,E11,competitors!$L$2:$L$101,F11,competitors!$E$2:$E$101,"한국"))</f>
        <v>1</v>
      </c>
      <c r="H11" s="10">
        <f>IF(B11="","",COUNTIFS(competitors!$C$2:$C$101,B11,competitors!$D$2:$D$101,C11,competitors!$H$2:$H$101,D11,competitors!$I$2:$I$101,E11,competitors!$L$2:$L$101,F11))</f>
        <v>1</v>
      </c>
      <c r="I11" s="10" t="str">
        <f t="shared" si="2"/>
        <v>적음</v>
      </c>
      <c r="J11" s="10" t="str">
        <f t="array" ref="J11">IF(B11="","",TEXTJOIN(", ",TRUE(),IF((competitors!$C$2:$C$101=B11)*(competitors!$D$2:$D$101=C11)*(competitors!$H$2:$H$101=D11)*(competitors!$I$2:$I$101=E11)*(competitors!$L$2:$L$101=F11),competitors!$B$2:$B$101,"")))</f>
        <v>달다방</v>
      </c>
      <c r="K11" s="14"/>
      <c r="L11" s="16">
        <f t="shared" si="3"/>
        <v>46248</v>
      </c>
    </row>
    <row r="12">
      <c r="A12" s="8" t="str">
        <f t="shared" si="1"/>
        <v>BM011</v>
      </c>
      <c r="B12" s="10" t="str">
        <f t="array" ref="B12">IFERROR(INDEX(competitors!$C$2:$C$101,MATCH(11,competitors!$R$2:$R$101,0)),"")</f>
        <v>여성건강</v>
      </c>
      <c r="C12" s="10" t="str">
        <f t="array" ref="C12">IFERROR(INDEX(competitors!$D$2:$D$101,MATCH(11,competitors!$R$2:$R$101,0)),"")</f>
        <v>정보제공</v>
      </c>
      <c r="D12" s="10" t="str">
        <f t="array" ref="D12">IFERROR(INDEX(competitors!$H$2:$H$101,MATCH(11,competitors!$R$2:$R$101,0)),"")</f>
        <v>임산부,예비부모</v>
      </c>
      <c r="E12" s="10" t="str">
        <f t="array" ref="E12">IFERROR(INDEX(competitors!$I$2:$I$101,MATCH(11,competitors!$R$2:$R$101,0)),"")</f>
        <v>앱단독</v>
      </c>
      <c r="F12" s="10" t="str">
        <f t="array" ref="F12">IFERROR(INDEX(competitors!$L$2:$L$101,MATCH(11,competitors!$R$2:$R$101,0)),"")</f>
        <v>Two-sided Market(양면시장)</v>
      </c>
      <c r="G12" s="10">
        <f>IF(B12="","",COUNTIFS(competitors!$C$2:$C$101,B12,competitors!$D$2:$D$101,C12,competitors!$H$2:$H$101,D12,competitors!$I$2:$I$101,E12,competitors!$L$2:$L$101,F12,competitors!$E$2:$E$101,"한국"))</f>
        <v>1</v>
      </c>
      <c r="H12" s="10">
        <f>IF(B12="","",COUNTIFS(competitors!$C$2:$C$101,B12,competitors!$D$2:$D$101,C12,competitors!$H$2:$H$101,D12,competitors!$I$2:$I$101,E12,competitors!$L$2:$L$101,F12))</f>
        <v>1</v>
      </c>
      <c r="I12" s="10" t="str">
        <f t="shared" si="2"/>
        <v>적음</v>
      </c>
      <c r="J12" s="10" t="str">
        <f t="array" ref="J12">IF(B12="","",TEXTJOIN(", ",TRUE(),IF((competitors!$C$2:$C$101=B12)*(competitors!$D$2:$D$101=C12)*(competitors!$H$2:$H$101=D12)*(competitors!$I$2:$I$101=E12)*(competitors!$L$2:$L$101=F12),competitors!$B$2:$B$101,"")))</f>
        <v>베이비빌리</v>
      </c>
      <c r="K12" s="14"/>
      <c r="L12" s="16">
        <f t="shared" si="3"/>
        <v>46248</v>
      </c>
    </row>
    <row r="13">
      <c r="A13" s="8" t="str">
        <f t="shared" si="1"/>
        <v>BM012</v>
      </c>
      <c r="B13" s="10" t="str">
        <f t="array" ref="B13">IFERROR(INDEX(competitors!$C$2:$C$101,MATCH(12,competitors!$R$2:$R$101,0)),"")</f>
        <v>여성건강</v>
      </c>
      <c r="C13" s="10" t="str">
        <f t="array" ref="C13">IFERROR(INDEX(competitors!$D$2:$D$101,MATCH(12,competitors!$R$2:$R$101,0)),"")</f>
        <v>개입치료</v>
      </c>
      <c r="D13" s="10" t="str">
        <f t="array" ref="D13">IFERROR(INDEX(competitors!$H$2:$H$101,MATCH(12,competitors!$R$2:$R$101,0)),"")</f>
        <v>난임부부</v>
      </c>
      <c r="E13" s="10" t="str">
        <f t="array" ref="E13">IFERROR(INDEX(competitors!$I$2:$I$101,MATCH(12,competitors!$R$2:$R$101,0)),"")</f>
        <v>B2B(의료기관 대상 SaaS)</v>
      </c>
      <c r="F13" s="10" t="str">
        <f t="array" ref="F13">IFERROR(INDEX(competitors!$L$2:$L$101,MATCH(12,competitors!$R$2:$R$101,0)),"")</f>
        <v>Performance-based Contracting(성과기반계약)</v>
      </c>
      <c r="G13" s="10">
        <f>IF(B13="","",COUNTIFS(competitors!$C$2:$C$101,B13,competitors!$D$2:$D$101,C13,competitors!$H$2:$H$101,D13,competitors!$I$2:$I$101,E13,competitors!$L$2:$L$101,F13,competitors!$E$2:$E$101,"한국"))</f>
        <v>1</v>
      </c>
      <c r="H13" s="10">
        <f>IF(B13="","",COUNTIFS(competitors!$C$2:$C$101,B13,competitors!$D$2:$D$101,C13,competitors!$H$2:$H$101,D13,competitors!$I$2:$I$101,E13,competitors!$L$2:$L$101,F13))</f>
        <v>1</v>
      </c>
      <c r="I13" s="10" t="str">
        <f t="shared" si="2"/>
        <v>적음</v>
      </c>
      <c r="J13" s="10" t="str">
        <f t="array" ref="J13">IF(B13="","",TEXTJOIN(", ",TRUE(),IF((competitors!$C$2:$C$101=B13)*(competitors!$D$2:$D$101=C13)*(competitors!$H$2:$H$101=D13)*(competitors!$I$2:$I$101=E13)*(competitors!$L$2:$L$101=F13),competitors!$B$2:$B$101,"")))</f>
        <v>카이헬스</v>
      </c>
      <c r="K13" s="14"/>
      <c r="L13" s="16">
        <f t="shared" si="3"/>
        <v>46248</v>
      </c>
    </row>
    <row r="14">
      <c r="A14" s="8" t="str">
        <f t="shared" si="1"/>
        <v>BM013</v>
      </c>
      <c r="B14" s="10" t="str">
        <f t="array" ref="B14">IFERROR(INDEX(competitors!$C$2:$C$101,MATCH(13,competitors!$R$2:$R$101,0)),"")</f>
        <v>여성건강</v>
      </c>
      <c r="C14" s="10" t="str">
        <f t="array" ref="C14">IFERROR(INDEX(competitors!$D$2:$D$101,MATCH(13,competitors!$R$2:$R$101,0)),"")</f>
        <v>개입치료</v>
      </c>
      <c r="D14" s="10" t="str">
        <f t="array" ref="D14">IFERROR(INDEX(competitors!$H$2:$H$101,MATCH(13,competitors!$R$2:$R$101,0)),"")</f>
        <v>가임기여성</v>
      </c>
      <c r="E14" s="10" t="str">
        <f t="array" ref="E14">IFERROR(INDEX(competitors!$I$2:$I$101,MATCH(13,competitors!$R$2:$R$101,0)),"")</f>
        <v>D2C(제조판매)</v>
      </c>
      <c r="F14" s="10" t="str">
        <f t="array" ref="F14">IFERROR(INDEX(competitors!$L$2:$L$101,MATCH(13,competitors!$R$2:$R$101,0)),"")</f>
        <v>Razor And Blade(레이저블레</v>
      </c>
      <c r="G14" s="10">
        <f>IF(B14="","",COUNTIFS(competitors!$C$2:$C$101,B14,competitors!$D$2:$D$101,C14,competitors!$H$2:$H$101,D14,competitors!$I$2:$I$101,E14,competitors!$L$2:$L$101,F14,competitors!$E$2:$E$101,"한국"))</f>
        <v>1</v>
      </c>
      <c r="H14" s="10">
        <f>IF(B14="","",COUNTIFS(competitors!$C$2:$C$101,B14,competitors!$D$2:$D$101,C14,competitors!$H$2:$H$101,D14,competitors!$I$2:$I$101,E14,competitors!$L$2:$L$101,F14))</f>
        <v>1</v>
      </c>
      <c r="I14" s="10" t="str">
        <f t="shared" si="2"/>
        <v>적음</v>
      </c>
      <c r="J14" s="10" t="str">
        <f t="array" ref="J14">IF(B14="","",TEXTJOIN(", ",TRUE(),IF((competitors!$C$2:$C$101=B14)*(competitors!$D$2:$D$101=C14)*(competitors!$H$2:$H$101=D14)*(competitors!$I$2:$I$101=E14)*(competitors!$L$2:$L$101=F14),competitors!$B$2:$B$101,"")))</f>
        <v>듀이랩스(포이컵)</v>
      </c>
      <c r="K14" s="14"/>
      <c r="L14" s="16">
        <f t="shared" si="3"/>
        <v>46248</v>
      </c>
    </row>
    <row r="15">
      <c r="A15" s="8" t="str">
        <f t="shared" si="1"/>
        <v>BM014</v>
      </c>
      <c r="B15" s="10" t="str">
        <f t="array" ref="B15">IFERROR(INDEX(competitors!$C$2:$C$101,MATCH(14,competitors!$R$2:$R$101,0)),"")</f>
        <v>여성건강</v>
      </c>
      <c r="C15" s="10" t="str">
        <f t="array" ref="C15">IFERROR(INDEX(competitors!$D$2:$D$101,MATCH(14,competitors!$R$2:$R$101,0)),"")</f>
        <v>개입치료</v>
      </c>
      <c r="D15" s="10" t="str">
        <f t="array" ref="D15">IFERROR(INDEX(competitors!$H$2:$H$101,MATCH(14,competitors!$R$2:$R$101,0)),"")</f>
        <v>가임기~갱년기 여성</v>
      </c>
      <c r="E15" s="10" t="str">
        <f t="array" ref="E15">IFERROR(INDEX(competitors!$I$2:$I$101,MATCH(14,competitors!$R$2:$R$101,0)),"")</f>
        <v>기기+소모품(D2C)</v>
      </c>
      <c r="F15" s="10" t="str">
        <f t="array" ref="F15">IFERROR(INDEX(competitors!$L$2:$L$101,MATCH(14,competitors!$R$2:$R$101,0)),"")</f>
        <v>Razor And Blade(레이저블레</v>
      </c>
      <c r="G15" s="10">
        <f>IF(B15="","",COUNTIFS(competitors!$C$2:$C$101,B15,competitors!$D$2:$D$101,C15,competitors!$H$2:$H$101,D15,competitors!$I$2:$I$101,E15,competitors!$L$2:$L$101,F15,competitors!$E$2:$E$101,"한국"))</f>
        <v>1</v>
      </c>
      <c r="H15" s="10">
        <f>IF(B15="","",COUNTIFS(competitors!$C$2:$C$101,B15,competitors!$D$2:$D$101,C15,competitors!$H$2:$H$101,D15,competitors!$I$2:$I$101,E15,competitors!$L$2:$L$101,F15))</f>
        <v>1</v>
      </c>
      <c r="I15" s="10" t="str">
        <f t="shared" si="2"/>
        <v>적음</v>
      </c>
      <c r="J15" s="10" t="str">
        <f t="array" ref="J15">IF(B15="","",TEXTJOIN(", ",TRUE(),IF((competitors!$C$2:$C$101=B15)*(competitors!$D$2:$D$101=C15)*(competitors!$H$2:$H$101=D15)*(competitors!$I$2:$I$101=E15)*(competitors!$L$2:$L$101=F15),competitors!$B$2:$B$101,"")))</f>
        <v>슈얼리(Surely)</v>
      </c>
      <c r="K15" s="14"/>
      <c r="L15" s="16">
        <f t="shared" si="3"/>
        <v>46248</v>
      </c>
    </row>
    <row r="16">
      <c r="A16" s="8" t="str">
        <f t="shared" si="1"/>
        <v>BM015</v>
      </c>
      <c r="B16" s="10" t="str">
        <f t="array" ref="B16">IFERROR(INDEX(competitors!$C$2:$C$101,MATCH(15,competitors!$R$2:$R$101,0)),"")</f>
        <v>미용</v>
      </c>
      <c r="C16" s="10" t="str">
        <f t="array" ref="C16">IFERROR(INDEX(competitors!$D$2:$D$101,MATCH(15,competitors!$R$2:$R$101,0)),"")</f>
        <v>정보제공</v>
      </c>
      <c r="D16" s="10" t="str">
        <f t="array" ref="D16">IFERROR(INDEX(competitors!$H$2:$H$101,MATCH(15,competitors!$R$2:$R$101,0)),"")</f>
        <v>전연령뷰티소비자</v>
      </c>
      <c r="E16" s="10" t="str">
        <f t="array" ref="E16">IFERROR(INDEX(competitors!$I$2:$I$101,MATCH(15,competitors!$R$2:$R$101,0)),"")</f>
        <v>앱단독</v>
      </c>
      <c r="F16" s="10" t="str">
        <f t="array" ref="F16">IFERROR(INDEX(competitors!$L$2:$L$101,MATCH(15,competitors!$R$2:$R$101,0)),"")</f>
        <v>Leverage Customer Data(데이터활용)</v>
      </c>
      <c r="G16" s="10">
        <f>IF(B16="","",COUNTIFS(competitors!$C$2:$C$101,B16,competitors!$D$2:$D$101,C16,competitors!$H$2:$H$101,D16,competitors!$I$2:$I$101,E16,competitors!$L$2:$L$101,F16,competitors!$E$2:$E$101,"한국"))</f>
        <v>1</v>
      </c>
      <c r="H16" s="10">
        <f>IF(B16="","",COUNTIFS(competitors!$C$2:$C$101,B16,competitors!$D$2:$D$101,C16,competitors!$H$2:$H$101,D16,competitors!$I$2:$I$101,E16,competitors!$L$2:$L$101,F16))</f>
        <v>1</v>
      </c>
      <c r="I16" s="10" t="str">
        <f t="shared" si="2"/>
        <v>적음</v>
      </c>
      <c r="J16" s="10" t="str">
        <f t="array" ref="J16">IF(B16="","",TEXTJOIN(", ",TRUE(),IF((competitors!$C$2:$C$101=B16)*(competitors!$D$2:$D$101=C16)*(competitors!$H$2:$H$101=D16)*(competitors!$I$2:$I$101=E16)*(competitors!$L$2:$L$101=F16),competitors!$B$2:$B$101,"")))</f>
        <v>화해</v>
      </c>
      <c r="K16" s="14"/>
      <c r="L16" s="16">
        <f t="shared" si="3"/>
        <v>46248</v>
      </c>
    </row>
    <row r="17">
      <c r="A17" s="8" t="str">
        <f t="shared" si="1"/>
        <v>BM016</v>
      </c>
      <c r="B17" s="10" t="str">
        <f t="array" ref="B17">IFERROR(INDEX(competitors!$C$2:$C$101,MATCH(16,competitors!$R$2:$R$101,0)),"")</f>
        <v>미용</v>
      </c>
      <c r="C17" s="10" t="str">
        <f t="array" ref="C17">IFERROR(INDEX(competitors!$D$2:$D$101,MATCH(16,competitors!$R$2:$R$101,0)),"")</f>
        <v>매칭연결</v>
      </c>
      <c r="D17" s="10" t="str">
        <f t="array" ref="D17">IFERROR(INDEX(competitors!$H$2:$H$101,MATCH(16,competitors!$R$2:$R$101,0)),"")</f>
        <v>전연령뷰티소비자</v>
      </c>
      <c r="E17" s="10" t="str">
        <f t="array" ref="E17">IFERROR(INDEX(competitors!$I$2:$I$101,MATCH(16,competitors!$R$2:$R$101,0)),"")</f>
        <v>커머스연계</v>
      </c>
      <c r="F17" s="10" t="str">
        <f t="array" ref="F17">IFERROR(INDEX(competitors!$L$2:$L$101,MATCH(16,competitors!$R$2:$R$101,0)),"")</f>
        <v>Subscription(구독형)</v>
      </c>
      <c r="G17" s="10">
        <f>IF(B17="","",COUNTIFS(competitors!$C$2:$C$101,B17,competitors!$D$2:$D$101,C17,competitors!$H$2:$H$101,D17,competitors!$I$2:$I$101,E17,competitors!$L$2:$L$101,F17,competitors!$E$2:$E$101,"한국"))</f>
        <v>1</v>
      </c>
      <c r="H17" s="10">
        <f>IF(B17="","",COUNTIFS(competitors!$C$2:$C$101,B17,competitors!$D$2:$D$101,C17,competitors!$H$2:$H$101,D17,competitors!$I$2:$I$101,E17,competitors!$L$2:$L$101,F17))</f>
        <v>1</v>
      </c>
      <c r="I17" s="10" t="str">
        <f t="shared" si="2"/>
        <v>적음</v>
      </c>
      <c r="J17" s="10" t="str">
        <f t="array" ref="J17">IF(B17="","",TEXTJOIN(", ",TRUE(),IF((competitors!$C$2:$C$101=B17)*(competitors!$D$2:$D$101=C17)*(competitors!$H$2:$H$101=D17)*(competitors!$I$2:$I$101=E17)*(competitors!$L$2:$L$101=F17),competitors!$B$2:$B$101,"")))</f>
        <v>미미박스</v>
      </c>
      <c r="K17" s="14"/>
      <c r="L17" s="16">
        <f t="shared" si="3"/>
        <v>46248</v>
      </c>
    </row>
    <row r="18">
      <c r="A18" s="8" t="str">
        <f t="shared" si="1"/>
        <v>BM017</v>
      </c>
      <c r="B18" s="10" t="str">
        <f t="array" ref="B18">IFERROR(INDEX(competitors!$C$2:$C$101,MATCH(17,competitors!$R$2:$R$101,0)),"")</f>
        <v>미용</v>
      </c>
      <c r="C18" s="10" t="str">
        <f t="array" ref="C18">IFERROR(INDEX(competitors!$D$2:$D$101,MATCH(17,competitors!$R$2:$R$101,0)),"")</f>
        <v>정보제공</v>
      </c>
      <c r="D18" s="10" t="str">
        <f t="array" ref="D18">IFERROR(INDEX(competitors!$H$2:$H$101,MATCH(17,competitors!$R$2:$R$101,0)),"")</f>
        <v>전연령뷰티소비자</v>
      </c>
      <c r="E18" s="10" t="str">
        <f t="array" ref="E18">IFERROR(INDEX(competitors!$I$2:$I$101,MATCH(17,competitors!$R$2:$R$101,0)),"")</f>
        <v>앱단독</v>
      </c>
      <c r="F18" s="10" t="str">
        <f t="array" ref="F18">IFERROR(INDEX(competitors!$L$2:$L$101,MATCH(17,competitors!$R$2:$R$101,0)),"")</f>
        <v>Freemium(프리미엄)</v>
      </c>
      <c r="G18" s="10">
        <f>IF(B18="","",COUNTIFS(competitors!$C$2:$C$101,B18,competitors!$D$2:$D$101,C18,competitors!$H$2:$H$101,D18,competitors!$I$2:$I$101,E18,competitors!$L$2:$L$101,F18,competitors!$E$2:$E$101,"한국"))</f>
        <v>2</v>
      </c>
      <c r="H18" s="10">
        <f>IF(B18="","",COUNTIFS(competitors!$C$2:$C$101,B18,competitors!$D$2:$D$101,C18,competitors!$H$2:$H$101,D18,competitors!$I$2:$I$101,E18,competitors!$L$2:$L$101,F18))</f>
        <v>2</v>
      </c>
      <c r="I18" s="10" t="str">
        <f t="shared" si="2"/>
        <v>적음</v>
      </c>
      <c r="J18" s="10" t="str">
        <f t="array" ref="J18">IF(B18="","",TEXTJOIN(", ",TRUE(),IF((competitors!$C$2:$C$101=B18)*(competitors!$D$2:$D$101=C18)*(competitors!$H$2:$H$101=D18)*(competitors!$I$2:$I$101=E18)*(competitors!$L$2:$L$101=F18),competitors!$B$2:$B$101,"")))</f>
        <v>글로우픽, 잼페이스</v>
      </c>
      <c r="K18" s="14"/>
      <c r="L18" s="16">
        <f t="shared" si="3"/>
        <v>46248</v>
      </c>
    </row>
    <row r="19">
      <c r="A19" s="8" t="str">
        <f t="shared" si="1"/>
        <v>BM018</v>
      </c>
      <c r="B19" s="10" t="str">
        <f t="array" ref="B19">IFERROR(INDEX(competitors!$C$2:$C$101,MATCH(18,competitors!$R$2:$R$101,0)),"")</f>
        <v>미용</v>
      </c>
      <c r="C19" s="10" t="str">
        <f t="array" ref="C19">IFERROR(INDEX(competitors!$D$2:$D$101,MATCH(18,competitors!$R$2:$R$101,0)),"")</f>
        <v>정보제공</v>
      </c>
      <c r="D19" s="10" t="str">
        <f t="array" ref="D19">IFERROR(INDEX(competitors!$H$2:$H$101,MATCH(18,competitors!$R$2:$R$101,0)),"")</f>
        <v>여성 전연령</v>
      </c>
      <c r="E19" s="10" t="str">
        <f t="array" ref="E19">IFERROR(INDEX(competitors!$I$2:$I$101,MATCH(18,competitors!$R$2:$R$101,0)),"")</f>
        <v>앱단독</v>
      </c>
      <c r="F19" s="10" t="str">
        <f t="array" ref="F19">IFERROR(INDEX(competitors!$L$2:$L$101,MATCH(18,competitors!$R$2:$R$101,0)),"")</f>
        <v>Freemium(프리미엄)</v>
      </c>
      <c r="G19" s="10">
        <f>IF(B19="","",COUNTIFS(competitors!$C$2:$C$101,B19,competitors!$D$2:$D$101,C19,competitors!$H$2:$H$101,D19,competitors!$I$2:$I$101,E19,competitors!$L$2:$L$101,F19,competitors!$E$2:$E$101,"한국"))</f>
        <v>1</v>
      </c>
      <c r="H19" s="10">
        <f>IF(B19="","",COUNTIFS(competitors!$C$2:$C$101,B19,competitors!$D$2:$D$101,C19,competitors!$H$2:$H$101,D19,competitors!$I$2:$I$101,E19,competitors!$L$2:$L$101,F19))</f>
        <v>1</v>
      </c>
      <c r="I19" s="10" t="str">
        <f t="shared" si="2"/>
        <v>적음</v>
      </c>
      <c r="J19" s="10" t="str">
        <f t="array" ref="J19">IF(B19="","",TEXTJOIN(", ",TRUE(),IF((competitors!$C$2:$C$101=B19)*(competitors!$D$2:$D$101=C19)*(competitors!$H$2:$H$101=D19)*(competitors!$I$2:$I$101=E19)*(competitors!$L$2:$L$101=F19),competitors!$B$2:$B$101,"")))</f>
        <v>언니의파우치</v>
      </c>
      <c r="K19" s="14"/>
      <c r="L19" s="16">
        <f t="shared" si="3"/>
        <v>46248</v>
      </c>
    </row>
    <row r="20">
      <c r="A20" s="8" t="str">
        <f t="shared" si="1"/>
        <v>BM019</v>
      </c>
      <c r="B20" s="10" t="str">
        <f t="array" ref="B20">IFERROR(INDEX(competitors!$C$2:$C$101,MATCH(19,competitors!$R$2:$R$101,0)),"")</f>
        <v>미용</v>
      </c>
      <c r="C20" s="10" t="str">
        <f t="array" ref="C20">IFERROR(INDEX(competitors!$D$2:$D$101,MATCH(19,competitors!$R$2:$R$101,0)),"")</f>
        <v>매칭연결</v>
      </c>
      <c r="D20" s="10" t="str">
        <f t="array" ref="D20">IFERROR(INDEX(competitors!$H$2:$H$101,MATCH(19,competitors!$R$2:$R$101,0)),"")</f>
        <v>성형/피부시술관심</v>
      </c>
      <c r="E20" s="10" t="str">
        <f t="array" ref="E20">IFERROR(INDEX(competitors!$I$2:$I$101,MATCH(19,competitors!$R$2:$R$101,0)),"")</f>
        <v>앱단독</v>
      </c>
      <c r="F20" s="10" t="str">
        <f t="array" ref="F20">IFERROR(INDEX(competitors!$L$2:$L$101,MATCH(19,competitors!$R$2:$R$101,0)),"")</f>
        <v>Two-sided Market(양면시장)</v>
      </c>
      <c r="G20" s="10">
        <f>IF(B20="","",COUNTIFS(competitors!$C$2:$C$101,B20,competitors!$D$2:$D$101,C20,competitors!$H$2:$H$101,D20,competitors!$I$2:$I$101,E20,competitors!$L$2:$L$101,F20,competitors!$E$2:$E$101,"한국"))</f>
        <v>2</v>
      </c>
      <c r="H20" s="10">
        <f>IF(B20="","",COUNTIFS(competitors!$C$2:$C$101,B20,competitors!$D$2:$D$101,C20,competitors!$H$2:$H$101,D20,competitors!$I$2:$I$101,E20,competitors!$L$2:$L$101,F20))</f>
        <v>2</v>
      </c>
      <c r="I20" s="10" t="str">
        <f t="shared" si="2"/>
        <v>적음</v>
      </c>
      <c r="J20" s="10" t="str">
        <f t="array" ref="J20">IF(B20="","",TEXTJOIN(", ",TRUE(),IF((competitors!$C$2:$C$101=B20)*(competitors!$D$2:$D$101=C20)*(competitors!$H$2:$H$101=D20)*(competitors!$I$2:$I$101=E20)*(competitors!$L$2:$L$101=F20),competitors!$B$2:$B$101,"")))</f>
        <v>강남언니, 바비톡</v>
      </c>
      <c r="K20" s="14"/>
      <c r="L20" s="16">
        <f t="shared" si="3"/>
        <v>46248</v>
      </c>
    </row>
    <row r="21" ht="15.75" customHeight="1">
      <c r="A21" s="8" t="str">
        <f t="shared" si="1"/>
        <v>BM020</v>
      </c>
      <c r="B21" s="10" t="str">
        <f t="array" ref="B21">IFERROR(INDEX(competitors!$C$2:$C$101,MATCH(20,competitors!$R$2:$R$101,0)),"")</f>
        <v>미용</v>
      </c>
      <c r="C21" s="10" t="str">
        <f t="array" ref="C21">IFERROR(INDEX(competitors!$D$2:$D$101,MATCH(20,competitors!$R$2:$R$101,0)),"")</f>
        <v>개입치료</v>
      </c>
      <c r="D21" s="10" t="str">
        <f t="array" ref="D21">IFERROR(INDEX(competitors!$H$2:$H$101,MATCH(20,competitors!$R$2:$R$101,0)),"")</f>
        <v>전연령뷰티소비자</v>
      </c>
      <c r="E21" s="10" t="str">
        <f t="array" ref="E21">IFERROR(INDEX(competitors!$I$2:$I$101,MATCH(20,competitors!$R$2:$R$101,0)),"")</f>
        <v>D2C구독</v>
      </c>
      <c r="F21" s="10" t="str">
        <f t="array" ref="F21">IFERROR(INDEX(competitors!$L$2:$L$101,MATCH(20,competitors!$R$2:$R$101,0)),"")</f>
        <v>Subscription(구독형)</v>
      </c>
      <c r="G21" s="10">
        <f>IF(B21="","",COUNTIFS(competitors!$C$2:$C$101,B21,competitors!$D$2:$D$101,C21,competitors!$H$2:$H$101,D21,competitors!$I$2:$I$101,E21,competitors!$L$2:$L$101,F21,competitors!$E$2:$E$101,"한국"))</f>
        <v>1</v>
      </c>
      <c r="H21" s="10">
        <f>IF(B21="","",COUNTIFS(competitors!$C$2:$C$101,B21,competitors!$D$2:$D$101,C21,competitors!$H$2:$H$101,D21,competitors!$I$2:$I$101,E21,competitors!$L$2:$L$101,F21))</f>
        <v>1</v>
      </c>
      <c r="I21" s="10" t="str">
        <f t="shared" si="2"/>
        <v>적음</v>
      </c>
      <c r="J21" s="10" t="str">
        <f t="array" ref="J21">IF(B21="","",TEXTJOIN(", ",TRUE(),IF((competitors!$C$2:$C$101=B21)*(competitors!$D$2:$D$101=C21)*(competitors!$H$2:$H$101=D21)*(competitors!$I$2:$I$101=E21)*(competitors!$L$2:$L$101=F21),competitors!$B$2:$B$101,"")))</f>
        <v>톤28</v>
      </c>
      <c r="K21" s="14"/>
      <c r="L21" s="16">
        <f t="shared" si="3"/>
        <v>46248</v>
      </c>
    </row>
    <row r="22" ht="15.75" customHeight="1">
      <c r="A22" s="8" t="str">
        <f t="shared" si="1"/>
        <v>BM021</v>
      </c>
      <c r="B22" s="10" t="str">
        <f t="array" ref="B22">IFERROR(INDEX(competitors!$C$2:$C$101,MATCH(21,competitors!$R$2:$R$101,0)),"")</f>
        <v>미용</v>
      </c>
      <c r="C22" s="10" t="str">
        <f t="array" ref="C22">IFERROR(INDEX(competitors!$D$2:$D$101,MATCH(21,competitors!$R$2:$R$101,0)),"")</f>
        <v>정보제공</v>
      </c>
      <c r="D22" s="10" t="str">
        <f t="array" ref="D22">IFERROR(INDEX(competitors!$H$2:$H$101,MATCH(21,competitors!$R$2:$R$101,0)),"")</f>
        <v>전연령뷰티소비자</v>
      </c>
      <c r="E22" s="10" t="str">
        <f t="array" ref="E22">IFERROR(INDEX(competitors!$I$2:$I$101,MATCH(21,competitors!$R$2:$R$101,0)),"")</f>
        <v>디바이스+앱(오프라인매장배치)</v>
      </c>
      <c r="F22" s="10" t="str">
        <f t="array" ref="F22">IFERROR(INDEX(competitors!$L$2:$L$101,MATCH(21,competitors!$R$2:$R$101,0)),"")</f>
        <v>Sensor As A Service(센서서비스)</v>
      </c>
      <c r="G22" s="10">
        <f>IF(B22="","",COUNTIFS(competitors!$C$2:$C$101,B22,competitors!$D$2:$D$101,C22,competitors!$H$2:$H$101,D22,competitors!$I$2:$I$101,E22,competitors!$L$2:$L$101,F22,competitors!$E$2:$E$101,"한국"))</f>
        <v>1</v>
      </c>
      <c r="H22" s="10">
        <f>IF(B22="","",COUNTIFS(competitors!$C$2:$C$101,B22,competitors!$D$2:$D$101,C22,competitors!$H$2:$H$101,D22,competitors!$I$2:$I$101,E22,competitors!$L$2:$L$101,F22))</f>
        <v>1</v>
      </c>
      <c r="I22" s="10" t="str">
        <f t="shared" si="2"/>
        <v>적음</v>
      </c>
      <c r="J22" s="10" t="str">
        <f t="array" ref="J22">IF(B22="","",TEXTJOIN(", ",TRUE(),IF((competitors!$C$2:$C$101=B22)*(competitors!$D$2:$D$101=C22)*(competitors!$H$2:$H$101=D22)*(competitors!$I$2:$I$101=E22)*(competitors!$L$2:$L$101=F22),competitors!$B$2:$B$101,"")))</f>
        <v>룰루랩</v>
      </c>
      <c r="K22" s="14"/>
      <c r="L22" s="16">
        <f t="shared" si="3"/>
        <v>46248</v>
      </c>
    </row>
    <row r="23" ht="15.75" customHeight="1">
      <c r="A23" s="8" t="str">
        <f t="shared" si="1"/>
        <v>BM022</v>
      </c>
      <c r="B23" s="10" t="str">
        <f t="array" ref="B23">IFERROR(INDEX(competitors!$C$2:$C$101,MATCH(22,competitors!$R$2:$R$101,0)),"")</f>
        <v>미용</v>
      </c>
      <c r="C23" s="10" t="str">
        <f t="array" ref="C23">IFERROR(INDEX(competitors!$D$2:$D$101,MATCH(22,competitors!$R$2:$R$101,0)),"")</f>
        <v>매칭연결</v>
      </c>
      <c r="D23" s="10" t="str">
        <f t="array" ref="D23">IFERROR(INDEX(competitors!$H$2:$H$101,MATCH(22,competitors!$R$2:$R$101,0)),"")</f>
        <v>전연령뷰티소비자</v>
      </c>
      <c r="E23" s="10" t="str">
        <f t="array" ref="E23">IFERROR(INDEX(competitors!$I$2:$I$101,MATCH(22,competitors!$R$2:$R$101,0)),"")</f>
        <v>앱단독</v>
      </c>
      <c r="F23" s="10" t="str">
        <f t="array" ref="F23">IFERROR(INDEX(competitors!$L$2:$L$101,MATCH(22,competitors!$R$2:$R$101,0)),"")</f>
        <v>Two-sided Market(양면시장)</v>
      </c>
      <c r="G23" s="10">
        <f>IF(B23="","",COUNTIFS(competitors!$C$2:$C$101,B23,competitors!$D$2:$D$101,C23,competitors!$H$2:$H$101,D23,competitors!$I$2:$I$101,E23,competitors!$L$2:$L$101,F23,competitors!$E$2:$E$101,"한국"))</f>
        <v>1</v>
      </c>
      <c r="H23" s="10">
        <f>IF(B23="","",COUNTIFS(competitors!$C$2:$C$101,B23,competitors!$D$2:$D$101,C23,competitors!$H$2:$H$101,D23,competitors!$I$2:$I$101,E23,competitors!$L$2:$L$101,F23))</f>
        <v>2</v>
      </c>
      <c r="I23" s="10" t="str">
        <f t="shared" si="2"/>
        <v>적음</v>
      </c>
      <c r="J23" s="10" t="str">
        <f t="array" ref="J23">IF(B23="","",TEXTJOIN(", ",TRUE(),IF((competitors!$C$2:$C$101=B23)*(competitors!$D$2:$D$101=C23)*(competitors!$H$2:$H$101=D23)*(competitors!$I$2:$I$101=E23)*(competitors!$L$2:$L$101=F23),competitors!$B$2:$B$101,"")))</f>
        <v>여신티켓, Sephora</v>
      </c>
      <c r="K23" s="14"/>
      <c r="L23" s="16">
        <f t="shared" si="3"/>
        <v>46248</v>
      </c>
    </row>
    <row r="24" ht="15.75" customHeight="1">
      <c r="A24" s="8" t="str">
        <f t="shared" si="1"/>
        <v>BM023</v>
      </c>
      <c r="B24" s="10" t="str">
        <f t="array" ref="B24">IFERROR(INDEX(competitors!$C$2:$C$101,MATCH(23,competitors!$R$2:$R$101,0)),"")</f>
        <v>미용</v>
      </c>
      <c r="C24" s="10" t="str">
        <f t="array" ref="C24">IFERROR(INDEX(competitors!$D$2:$D$101,MATCH(23,competitors!$R$2:$R$101,0)),"")</f>
        <v>개입치료</v>
      </c>
      <c r="D24" s="10" t="str">
        <f t="array" ref="D24">IFERROR(INDEX(competitors!$H$2:$H$101,MATCH(23,competitors!$R$2:$R$101,0)),"")</f>
        <v>피부트러블여성</v>
      </c>
      <c r="E24" s="10" t="str">
        <f t="array" ref="E24">IFERROR(INDEX(competitors!$I$2:$I$101,MATCH(23,competitors!$R$2:$R$101,0)),"")</f>
        <v>원격진료연계</v>
      </c>
      <c r="F24" s="10" t="str">
        <f t="array" ref="F24">IFERROR(INDEX(competitors!$L$2:$L$101,MATCH(23,competitors!$R$2:$R$101,0)),"")</f>
        <v>Subscription(구독형)</v>
      </c>
      <c r="G24" s="10">
        <f>IF(B24="","",COUNTIFS(competitors!$C$2:$C$101,B24,competitors!$D$2:$D$101,C24,competitors!$H$2:$H$101,D24,competitors!$I$2:$I$101,E24,competitors!$L$2:$L$101,F24,competitors!$E$2:$E$101,"한국"))</f>
        <v>0</v>
      </c>
      <c r="H24" s="10">
        <f>IF(B24="","",COUNTIFS(competitors!$C$2:$C$101,B24,competitors!$D$2:$D$101,C24,competitors!$H$2:$H$101,D24,competitors!$I$2:$I$101,E24,competitors!$L$2:$L$101,F24))</f>
        <v>1</v>
      </c>
      <c r="I24" s="10" t="str">
        <f t="shared" si="2"/>
        <v>가능</v>
      </c>
      <c r="J24" s="10" t="str">
        <f t="array" ref="J24">IF(B24="","",TEXTJOIN(", ",TRUE(),IF((competitors!$C$2:$C$101=B24)*(competitors!$D$2:$D$101=C24)*(competitors!$H$2:$H$101=D24)*(competitors!$I$2:$I$101=E24)*(competitors!$L$2:$L$101=F24),competitors!$B$2:$B$101,"")))</f>
        <v>Musely</v>
      </c>
      <c r="K24" s="14"/>
      <c r="L24" s="16">
        <f t="shared" si="3"/>
        <v>46248</v>
      </c>
    </row>
    <row r="25" ht="15.75" customHeight="1">
      <c r="A25" s="8" t="str">
        <f t="shared" si="1"/>
        <v/>
      </c>
      <c r="B25" s="10" t="str">
        <f t="array" ref="B25">IFERROR(INDEX(competitors!$C$2:$C$101,MATCH(24,competitors!$R$2:$R$101,0)),"")</f>
        <v/>
      </c>
      <c r="C25" s="10" t="str">
        <f t="array" ref="C25">IFERROR(INDEX(competitors!$D$2:$D$101,MATCH(24,competitors!$R$2:$R$101,0)),"")</f>
        <v/>
      </c>
      <c r="D25" s="10" t="str">
        <f t="array" ref="D25">IFERROR(INDEX(competitors!$H$2:$H$101,MATCH(24,competitors!$R$2:$R$101,0)),"")</f>
        <v/>
      </c>
      <c r="E25" s="10" t="str">
        <f t="array" ref="E25">IFERROR(INDEX(competitors!$I$2:$I$101,MATCH(24,competitors!$R$2:$R$101,0)),"")</f>
        <v/>
      </c>
      <c r="F25" s="10" t="str">
        <f t="array" ref="F25">IFERROR(INDEX(competitors!$L$2:$L$101,MATCH(24,competitors!$R$2:$R$101,0)),"")</f>
        <v/>
      </c>
      <c r="G25" s="10" t="str">
        <f>IF(B25="","",COUNTIFS(competitors!$C$2:$C$101,B25,competitors!$D$2:$D$101,C25,competitors!$H$2:$H$101,D25,competitors!$I$2:$I$101,E25,competitors!$L$2:$L$101,F25,competitors!$E$2:$E$101,"한국"))</f>
        <v/>
      </c>
      <c r="H25" s="10" t="str">
        <f>IF(B25="","",COUNTIFS(competitors!$C$2:$C$101,B25,competitors!$D$2:$D$101,C25,competitors!$H$2:$H$101,D25,competitors!$I$2:$I$101,E25,competitors!$L$2:$L$101,F25))</f>
        <v/>
      </c>
      <c r="I25" s="10" t="str">
        <f t="shared" si="2"/>
        <v/>
      </c>
      <c r="J25" s="10" t="str">
        <f t="array" ref="J25">IF(B25="","",TEXTJOIN(", ",TRUE(),IF((competitors!$C$2:$C$101=B25)*(competitors!$D$2:$D$101=C25)*(competitors!$H$2:$H$101=D25)*(competitors!$I$2:$I$101=E25)*(competitors!$L$2:$L$101=F25),competitors!$B$2:$B$101,"")))</f>
        <v/>
      </c>
      <c r="K25" s="14"/>
      <c r="L25" s="16" t="str">
        <f t="shared" si="3"/>
        <v/>
      </c>
    </row>
    <row r="26" ht="15.75" customHeight="1">
      <c r="A26" s="8" t="str">
        <f t="shared" si="1"/>
        <v>BM025</v>
      </c>
      <c r="B26" s="10" t="str">
        <f t="array" ref="B26">IFERROR(INDEX(competitors!$C$2:$C$101,MATCH(25,competitors!$R$2:$R$101,0)),"")</f>
        <v>정신건강</v>
      </c>
      <c r="C26" s="10" t="str">
        <f t="array" ref="C26">IFERROR(INDEX(competitors!$D$2:$D$101,MATCH(25,competitors!$R$2:$R$101,0)),"")</f>
        <v>매칭연결</v>
      </c>
      <c r="D26" s="10" t="str">
        <f t="array" ref="D26">IFERROR(INDEX(competitors!$H$2:$H$101,MATCH(25,competitors!$R$2:$R$101,0)),"")</f>
        <v>개인,기업임직원</v>
      </c>
      <c r="E26" s="10" t="str">
        <f t="array" ref="E26">IFERROR(INDEX(competitors!$I$2:$I$101,MATCH(25,competitors!$R$2:$R$101,0)),"")</f>
        <v>심리상담/멘탈케어 플랫폼</v>
      </c>
      <c r="F26" s="10" t="str">
        <f t="array" ref="F26">IFERROR(INDEX(competitors!$L$2:$L$101,MATCH(25,competitors!$R$2:$R$101,0)),"")</f>
        <v>Two-sided Market(양면시장)</v>
      </c>
      <c r="G26" s="10">
        <f>IF(B26="","",COUNTIFS(competitors!$C$2:$C$101,B26,competitors!$D$2:$D$101,C26,competitors!$H$2:$H$101,D26,competitors!$I$2:$I$101,E26,competitors!$L$2:$L$101,F26,competitors!$E$2:$E$101,"한국"))</f>
        <v>1</v>
      </c>
      <c r="H26" s="10">
        <f>IF(B26="","",COUNTIFS(competitors!$C$2:$C$101,B26,competitors!$D$2:$D$101,C26,competitors!$H$2:$H$101,D26,competitors!$I$2:$I$101,E26,competitors!$L$2:$L$101,F26))</f>
        <v>1</v>
      </c>
      <c r="I26" s="10" t="str">
        <f t="shared" si="2"/>
        <v>적음</v>
      </c>
      <c r="J26" s="10" t="str">
        <f t="array" ref="J26">IF(B26="","",TEXTJOIN(", ",TRUE(),IF((competitors!$C$2:$C$101=B26)*(competitors!$D$2:$D$101=C26)*(competitors!$H$2:$H$101=D26)*(competitors!$I$2:$I$101=E26)*(competitors!$L$2:$L$101=F26),competitors!$B$2:$B$101,"")))</f>
        <v>마인드카페</v>
      </c>
      <c r="K26" s="14"/>
      <c r="L26" s="16">
        <f t="shared" si="3"/>
        <v>46248</v>
      </c>
    </row>
    <row r="27" ht="15.75" customHeight="1">
      <c r="A27" s="8" t="str">
        <f t="shared" si="1"/>
        <v>BM026</v>
      </c>
      <c r="B27" s="10" t="str">
        <f t="array" ref="B27">IFERROR(INDEX(competitors!$C$2:$C$101,MATCH(26,competitors!$R$2:$R$101,0)),"")</f>
        <v>정신건강</v>
      </c>
      <c r="C27" s="10" t="str">
        <f t="array" ref="C27">IFERROR(INDEX(competitors!$D$2:$D$101,MATCH(26,competitors!$R$2:$R$101,0)),"")</f>
        <v>매칭연결</v>
      </c>
      <c r="D27" s="10" t="str">
        <f t="array" ref="D27">IFERROR(INDEX(competitors!$H$2:$H$101,MATCH(26,competitors!$R$2:$R$101,0)),"")</f>
        <v>개인</v>
      </c>
      <c r="E27" s="10" t="str">
        <f t="array" ref="E27">IFERROR(INDEX(competitors!$I$2:$I$101,MATCH(26,competitors!$R$2:$R$101,0)),"")</f>
        <v>비대면 심리상담 앱</v>
      </c>
      <c r="F27" s="10" t="str">
        <f t="array" ref="F27">IFERROR(INDEX(competitors!$L$2:$L$101,MATCH(26,competitors!$R$2:$R$101,0)),"")</f>
        <v>Two-sided Market(양면시장)</v>
      </c>
      <c r="G27" s="10">
        <f>IF(B27="","",COUNTIFS(competitors!$C$2:$C$101,B27,competitors!$D$2:$D$101,C27,competitors!$H$2:$H$101,D27,competitors!$I$2:$I$101,E27,competitors!$L$2:$L$101,F27,competitors!$E$2:$E$101,"한국"))</f>
        <v>1</v>
      </c>
      <c r="H27" s="10">
        <f>IF(B27="","",COUNTIFS(competitors!$C$2:$C$101,B27,competitors!$D$2:$D$101,C27,competitors!$H$2:$H$101,D27,competitors!$I$2:$I$101,E27,competitors!$L$2:$L$101,F27))</f>
        <v>1</v>
      </c>
      <c r="I27" s="10" t="str">
        <f t="shared" si="2"/>
        <v>적음</v>
      </c>
      <c r="J27" s="10" t="str">
        <f t="array" ref="J27">IF(B27="","",TEXTJOIN(", ",TRUE(),IF((competitors!$C$2:$C$101=B27)*(competitors!$D$2:$D$101=C27)*(competitors!$H$2:$H$101=D27)*(competitors!$I$2:$I$101=E27)*(competitors!$L$2:$L$101=F27),competitors!$B$2:$B$101,"")))</f>
        <v>트로스트</v>
      </c>
      <c r="K27" s="14"/>
      <c r="L27" s="16">
        <f t="shared" si="3"/>
        <v>46248</v>
      </c>
    </row>
    <row r="28" ht="15.75" customHeight="1">
      <c r="A28" s="8" t="str">
        <f t="shared" si="1"/>
        <v>BM027</v>
      </c>
      <c r="B28" s="10" t="str">
        <f t="array" ref="B28">IFERROR(INDEX(competitors!$C$2:$C$101,MATCH(27,competitors!$R$2:$R$101,0)),"")</f>
        <v>정신건강</v>
      </c>
      <c r="C28" s="10" t="str">
        <f t="array" ref="C28">IFERROR(INDEX(competitors!$D$2:$D$101,MATCH(27,competitors!$R$2:$R$101,0)),"")</f>
        <v>정보제공</v>
      </c>
      <c r="D28" s="10" t="str">
        <f t="array" ref="D28">IFERROR(INDEX(competitors!$H$2:$H$101,MATCH(27,competitors!$R$2:$R$101,0)),"")</f>
        <v>개인,기업임직원</v>
      </c>
      <c r="E28" s="10" t="str">
        <f t="array" ref="E28">IFERROR(INDEX(competitors!$I$2:$I$101,MATCH(27,competitors!$R$2:$R$101,0)),"")</f>
        <v>명상/마음챙김 앱</v>
      </c>
      <c r="F28" s="10" t="str">
        <f t="array" ref="F28">IFERROR(INDEX(competitors!$L$2:$L$101,MATCH(27,competitors!$R$2:$R$101,0)),"")</f>
        <v>Subscription(구독형)</v>
      </c>
      <c r="G28" s="10">
        <f>IF(B28="","",COUNTIFS(competitors!$C$2:$C$101,B28,competitors!$D$2:$D$101,C28,competitors!$H$2:$H$101,D28,competitors!$I$2:$I$101,E28,competitors!$L$2:$L$101,F28,competitors!$E$2:$E$101,"한국"))</f>
        <v>1</v>
      </c>
      <c r="H28" s="10">
        <f>IF(B28="","",COUNTIFS(competitors!$C$2:$C$101,B28,competitors!$D$2:$D$101,C28,competitors!$H$2:$H$101,D28,competitors!$I$2:$I$101,E28,competitors!$L$2:$L$101,F28))</f>
        <v>1</v>
      </c>
      <c r="I28" s="10" t="str">
        <f t="shared" si="2"/>
        <v>적음</v>
      </c>
      <c r="J28" s="10" t="str">
        <f t="array" ref="J28">IF(B28="","",TEXTJOIN(", ",TRUE(),IF((competitors!$C$2:$C$101=B28)*(competitors!$D$2:$D$101=C28)*(competitors!$H$2:$H$101=D28)*(competitors!$I$2:$I$101=E28)*(competitors!$L$2:$L$101=F28),competitors!$B$2:$B$101,"")))</f>
        <v>마보</v>
      </c>
      <c r="K28" s="14"/>
      <c r="L28" s="16">
        <f t="shared" si="3"/>
        <v>46248</v>
      </c>
    </row>
    <row r="29" ht="15.75" customHeight="1">
      <c r="A29" s="8" t="str">
        <f t="shared" si="1"/>
        <v>BM028</v>
      </c>
      <c r="B29" s="10" t="str">
        <f t="array" ref="B29">IFERROR(INDEX(competitors!$C$2:$C$101,MATCH(28,competitors!$R$2:$R$101,0)),"")</f>
        <v>정신건강</v>
      </c>
      <c r="C29" s="10" t="str">
        <f t="array" ref="C29">IFERROR(INDEX(competitors!$D$2:$D$101,MATCH(28,competitors!$R$2:$R$101,0)),"")</f>
        <v>정보제공</v>
      </c>
      <c r="D29" s="10" t="str">
        <f t="array" ref="D29">IFERROR(INDEX(competitors!$H$2:$H$101,MATCH(28,competitors!$R$2:$R$101,0)),"")</f>
        <v>개인</v>
      </c>
      <c r="E29" s="10" t="str">
        <f t="array" ref="E29">IFERROR(INDEX(competitors!$I$2:$I$101,MATCH(28,competitors!$R$2:$R$101,0)),"")</f>
        <v>수면/명상 콘텐츠 앱</v>
      </c>
      <c r="F29" s="10" t="str">
        <f t="array" ref="F29">IFERROR(INDEX(competitors!$L$2:$L$101,MATCH(28,competitors!$R$2:$R$101,0)),"")</f>
        <v>Freemium(프리미엄)</v>
      </c>
      <c r="G29" s="10">
        <f>IF(B29="","",COUNTIFS(competitors!$C$2:$C$101,B29,competitors!$D$2:$D$101,C29,competitors!$H$2:$H$101,D29,competitors!$I$2:$I$101,E29,competitors!$L$2:$L$101,F29,competitors!$E$2:$E$101,"한국"))</f>
        <v>1</v>
      </c>
      <c r="H29" s="10">
        <f>IF(B29="","",COUNTIFS(competitors!$C$2:$C$101,B29,competitors!$D$2:$D$101,C29,competitors!$H$2:$H$101,D29,competitors!$I$2:$I$101,E29,competitors!$L$2:$L$101,F29))</f>
        <v>1</v>
      </c>
      <c r="I29" s="10" t="str">
        <f t="shared" si="2"/>
        <v>적음</v>
      </c>
      <c r="J29" s="10" t="str">
        <f t="array" ref="J29">IF(B29="","",TEXTJOIN(", ",TRUE(),IF((competitors!$C$2:$C$101=B29)*(competitors!$D$2:$D$101=C29)*(competitors!$H$2:$H$101=D29)*(competitors!$I$2:$I$101=E29)*(competitors!$L$2:$L$101=F29),competitors!$B$2:$B$101,"")))</f>
        <v>코끼리</v>
      </c>
      <c r="K29" s="14"/>
      <c r="L29" s="16">
        <f t="shared" si="3"/>
        <v>46248</v>
      </c>
    </row>
    <row r="30" ht="15.75" customHeight="1">
      <c r="A30" s="8" t="str">
        <f t="shared" si="1"/>
        <v>BM029</v>
      </c>
      <c r="B30" s="10" t="str">
        <f t="array" ref="B30">IFERROR(INDEX(competitors!$C$2:$C$101,MATCH(29,competitors!$R$2:$R$101,0)),"")</f>
        <v>정신건강</v>
      </c>
      <c r="C30" s="10" t="str">
        <f t="array" ref="C30">IFERROR(INDEX(competitors!$D$2:$D$101,MATCH(29,competitors!$R$2:$R$101,0)),"")</f>
        <v>데이터기록관리</v>
      </c>
      <c r="D30" s="10" t="str">
        <f t="array" ref="D30">IFERROR(INDEX(competitors!$H$2:$H$101,MATCH(29,competitors!$R$2:$R$101,0)),"")</f>
        <v>개인</v>
      </c>
      <c r="E30" s="10" t="str">
        <f t="array" ref="E30">IFERROR(INDEX(competitors!$I$2:$I$101,MATCH(29,competitors!$R$2:$R$101,0)),"")</f>
        <v>감정 기록 앱</v>
      </c>
      <c r="F30" s="10" t="str">
        <f t="array" ref="F30">IFERROR(INDEX(competitors!$L$2:$L$101,MATCH(29,competitors!$R$2:$R$101,0)),"")</f>
        <v>Freemium(프리미엄)</v>
      </c>
      <c r="G30" s="10">
        <f>IF(B30="","",COUNTIFS(competitors!$C$2:$C$101,B30,competitors!$D$2:$D$101,C30,competitors!$H$2:$H$101,D30,competitors!$I$2:$I$101,E30,competitors!$L$2:$L$101,F30,competitors!$E$2:$E$101,"한국"))</f>
        <v>1</v>
      </c>
      <c r="H30" s="10">
        <f>IF(B30="","",COUNTIFS(competitors!$C$2:$C$101,B30,competitors!$D$2:$D$101,C30,competitors!$H$2:$H$101,D30,competitors!$I$2:$I$101,E30,competitors!$L$2:$L$101,F30))</f>
        <v>1</v>
      </c>
      <c r="I30" s="10" t="str">
        <f t="shared" si="2"/>
        <v>적음</v>
      </c>
      <c r="J30" s="10" t="str">
        <f t="array" ref="J30">IF(B30="","",TEXTJOIN(", ",TRUE(),IF((competitors!$C$2:$C$101=B30)*(competitors!$D$2:$D$101=C30)*(competitors!$H$2:$H$101=D30)*(competitors!$I$2:$I$101=E30)*(competitors!$L$2:$L$101=F30),competitors!$B$2:$B$101,"")))</f>
        <v>하루콩</v>
      </c>
      <c r="K30" s="14"/>
      <c r="L30" s="16">
        <f t="shared" si="3"/>
        <v>46248</v>
      </c>
    </row>
    <row r="31" ht="15.75" customHeight="1">
      <c r="A31" s="8" t="str">
        <f t="shared" si="1"/>
        <v>BM030</v>
      </c>
      <c r="B31" s="10" t="str">
        <f t="array" ref="B31">IFERROR(INDEX(competitors!$C$2:$C$101,MATCH(30,competitors!$R$2:$R$101,0)),"")</f>
        <v>정신건강</v>
      </c>
      <c r="C31" s="10" t="str">
        <f t="array" ref="C31">IFERROR(INDEX(competitors!$D$2:$D$101,MATCH(30,competitors!$R$2:$R$101,0)),"")</f>
        <v>개입치료</v>
      </c>
      <c r="D31" s="10" t="str">
        <f t="array" ref="D31">IFERROR(INDEX(competitors!$H$2:$H$101,MATCH(30,competitors!$R$2:$R$101,0)),"")</f>
        <v>개인</v>
      </c>
      <c r="E31" s="10" t="str">
        <f t="array" ref="E31">IFERROR(INDEX(competitors!$I$2:$I$101,MATCH(30,competitors!$R$2:$R$101,0)),"")</f>
        <v>AI 감정 가이드 앱</v>
      </c>
      <c r="F31" s="10" t="str">
        <f t="array" ref="F31">IFERROR(INDEX(competitors!$L$2:$L$101,MATCH(30,competitors!$R$2:$R$101,0)),"")</f>
        <v>Freemium(프리미엄)</v>
      </c>
      <c r="G31" s="10">
        <f>IF(B31="","",COUNTIFS(competitors!$C$2:$C$101,B31,competitors!$D$2:$D$101,C31,competitors!$H$2:$H$101,D31,competitors!$I$2:$I$101,E31,competitors!$L$2:$L$101,F31,competitors!$E$2:$E$101,"한국"))</f>
        <v>1</v>
      </c>
      <c r="H31" s="10">
        <f>IF(B31="","",COUNTIFS(competitors!$C$2:$C$101,B31,competitors!$D$2:$D$101,C31,competitors!$H$2:$H$101,D31,competitors!$I$2:$I$101,E31,competitors!$L$2:$L$101,F31))</f>
        <v>1</v>
      </c>
      <c r="I31" s="10" t="str">
        <f t="shared" si="2"/>
        <v>적음</v>
      </c>
      <c r="J31" s="10" t="str">
        <f t="array" ref="J31">IF(B31="","",TEXTJOIN(", ",TRUE(),IF((competitors!$C$2:$C$101=B31)*(competitors!$D$2:$D$101=C31)*(competitors!$H$2:$H$101=D31)*(competitors!$I$2:$I$101=E31)*(competitors!$L$2:$L$101=F31),competitors!$B$2:$B$101,"")))</f>
        <v>무디</v>
      </c>
      <c r="K31" s="14"/>
      <c r="L31" s="16">
        <f t="shared" si="3"/>
        <v>46248</v>
      </c>
    </row>
    <row r="32" ht="15.75" customHeight="1">
      <c r="A32" s="8" t="str">
        <f t="shared" si="1"/>
        <v>BM031</v>
      </c>
      <c r="B32" s="10" t="str">
        <f t="array" ref="B32">IFERROR(INDEX(competitors!$C$2:$C$101,MATCH(31,competitors!$R$2:$R$101,0)),"")</f>
        <v>정신건강</v>
      </c>
      <c r="C32" s="10" t="str">
        <f t="array" ref="C32">IFERROR(INDEX(competitors!$D$2:$D$101,MATCH(31,competitors!$R$2:$R$101,0)),"")</f>
        <v>개입치료</v>
      </c>
      <c r="D32" s="10" t="str">
        <f t="array" ref="D32">IFERROR(INDEX(competitors!$H$2:$H$101,MATCH(31,competitors!$R$2:$R$101,0)),"")</f>
        <v>개인</v>
      </c>
      <c r="E32" s="10" t="str">
        <f t="array" ref="E32">IFERROR(INDEX(competitors!$I$2:$I$101,MATCH(31,competitors!$R$2:$R$101,0)),"")</f>
        <v>마인드케어 앱</v>
      </c>
      <c r="F32" s="10" t="str">
        <f t="array" ref="F32">IFERROR(INDEX(competitors!$L$2:$L$101,MATCH(31,competitors!$R$2:$R$101,0)),"")</f>
        <v>Subscription(구독형)</v>
      </c>
      <c r="G32" s="10">
        <f>IF(B32="","",COUNTIFS(competitors!$C$2:$C$101,B32,competitors!$D$2:$D$101,C32,competitors!$H$2:$H$101,D32,competitors!$I$2:$I$101,E32,competitors!$L$2:$L$101,F32,competitors!$E$2:$E$101,"한국"))</f>
        <v>1</v>
      </c>
      <c r="H32" s="10">
        <f>IF(B32="","",COUNTIFS(competitors!$C$2:$C$101,B32,competitors!$D$2:$D$101,C32,competitors!$H$2:$H$101,D32,competitors!$I$2:$I$101,E32,competitors!$L$2:$L$101,F32))</f>
        <v>1</v>
      </c>
      <c r="I32" s="10" t="str">
        <f t="shared" si="2"/>
        <v>적음</v>
      </c>
      <c r="J32" s="10" t="str">
        <f t="array" ref="J32">IF(B32="","",TEXTJOIN(", ",TRUE(),IF((competitors!$C$2:$C$101=B32)*(competitors!$D$2:$D$101=C32)*(competitors!$H$2:$H$101=D32)*(competitors!$I$2:$I$101=E32)*(competitors!$L$2:$L$101=F32),competitors!$B$2:$B$101,"")))</f>
        <v>마인들링</v>
      </c>
      <c r="K32" s="14"/>
      <c r="L32" s="16">
        <f t="shared" si="3"/>
        <v>46248</v>
      </c>
    </row>
    <row r="33" ht="15.75" customHeight="1">
      <c r="A33" s="8" t="str">
        <f t="shared" si="1"/>
        <v>BM032</v>
      </c>
      <c r="B33" s="10" t="str">
        <f t="array" ref="B33">IFERROR(INDEX(competitors!$C$2:$C$101,MATCH(32,competitors!$R$2:$R$101,0)),"")</f>
        <v>정신건강</v>
      </c>
      <c r="C33" s="10" t="str">
        <f t="array" ref="C33">IFERROR(INDEX(competitors!$D$2:$D$101,MATCH(32,competitors!$R$2:$R$101,0)),"")</f>
        <v>개입치료</v>
      </c>
      <c r="D33" s="10" t="str">
        <f t="array" ref="D33">IFERROR(INDEX(competitors!$H$2:$H$101,MATCH(32,competitors!$R$2:$R$101,0)),"")</f>
        <v>개인</v>
      </c>
      <c r="E33" s="10" t="str">
        <f t="array" ref="E33">IFERROR(INDEX(competitors!$I$2:$I$101,MATCH(32,competitors!$R$2:$R$101,0)),"")</f>
        <v>비약물 심리치료 앱</v>
      </c>
      <c r="F33" s="10" t="str">
        <f t="array" ref="F33">IFERROR(INDEX(competitors!$L$2:$L$101,MATCH(32,competitors!$R$2:$R$101,0)),"")</f>
        <v>Subscription(구독형)</v>
      </c>
      <c r="G33" s="10">
        <f>IF(B33="","",COUNTIFS(competitors!$C$2:$C$101,B33,competitors!$D$2:$D$101,C33,competitors!$H$2:$H$101,D33,competitors!$I$2:$I$101,E33,competitors!$L$2:$L$101,F33,competitors!$E$2:$E$101,"한국"))</f>
        <v>1</v>
      </c>
      <c r="H33" s="10">
        <f>IF(B33="","",COUNTIFS(competitors!$C$2:$C$101,B33,competitors!$D$2:$D$101,C33,competitors!$H$2:$H$101,D33,competitors!$I$2:$I$101,E33,competitors!$L$2:$L$101,F33))</f>
        <v>1</v>
      </c>
      <c r="I33" s="10" t="str">
        <f t="shared" si="2"/>
        <v>적음</v>
      </c>
      <c r="J33" s="10" t="str">
        <f t="array" ref="J33">IF(B33="","",TEXTJOIN(", ",TRUE(),IF((competitors!$C$2:$C$101=B33)*(competitors!$D$2:$D$101=C33)*(competitors!$H$2:$H$101=D33)*(competitors!$I$2:$I$101=E33)*(competitors!$L$2:$L$101=F33),competitors!$B$2:$B$101,"")))</f>
        <v>디스턴싱</v>
      </c>
      <c r="K33" s="14"/>
      <c r="L33" s="16">
        <f t="shared" si="3"/>
        <v>46248</v>
      </c>
    </row>
    <row r="34" ht="15.75" customHeight="1">
      <c r="A34" s="8" t="str">
        <f t="shared" si="1"/>
        <v>BM033</v>
      </c>
      <c r="B34" s="10" t="str">
        <f t="array" ref="B34">IFERROR(INDEX(competitors!$C$2:$C$101,MATCH(33,competitors!$R$2:$R$101,0)),"")</f>
        <v>정신건강</v>
      </c>
      <c r="C34" s="10" t="str">
        <f t="array" ref="C34">IFERROR(INDEX(competitors!$D$2:$D$101,MATCH(33,competitors!$R$2:$R$101,0)),"")</f>
        <v>매칭연결</v>
      </c>
      <c r="D34" s="10" t="str">
        <f t="array" ref="D34">IFERROR(INDEX(competitors!$H$2:$H$101,MATCH(33,competitors!$R$2:$R$101,0)),"")</f>
        <v>개인</v>
      </c>
      <c r="E34" s="10" t="str">
        <f t="array" ref="E34">IFERROR(INDEX(competitors!$I$2:$I$101,MATCH(33,competitors!$R$2:$R$101,0)),"")</f>
        <v>전문가 상담 마켓플레이스</v>
      </c>
      <c r="F34" s="10" t="str">
        <f t="array" ref="F34">IFERROR(INDEX(competitors!$L$2:$L$101,MATCH(33,competitors!$R$2:$R$101,0)),"")</f>
        <v>Two-sided Market(양면시장)</v>
      </c>
      <c r="G34" s="10">
        <f>IF(B34="","",COUNTIFS(competitors!$C$2:$C$101,B34,competitors!$D$2:$D$101,C34,competitors!$H$2:$H$101,D34,competitors!$I$2:$I$101,E34,competitors!$L$2:$L$101,F34,competitors!$E$2:$E$101,"한국"))</f>
        <v>1</v>
      </c>
      <c r="H34" s="10">
        <f>IF(B34="","",COUNTIFS(competitors!$C$2:$C$101,B34,competitors!$D$2:$D$101,C34,competitors!$H$2:$H$101,D34,competitors!$I$2:$I$101,E34,competitors!$L$2:$L$101,F34))</f>
        <v>1</v>
      </c>
      <c r="I34" s="10" t="str">
        <f t="shared" si="2"/>
        <v>적음</v>
      </c>
      <c r="J34" s="10" t="str">
        <f t="array" ref="J34">IF(B34="","",TEXTJOIN(", ",TRUE(),IF((competitors!$C$2:$C$101=B34)*(competitors!$D$2:$D$101=C34)*(competitors!$H$2:$H$101=D34)*(competitors!$I$2:$I$101=E34)*(competitors!$L$2:$L$101=F34),competitors!$B$2:$B$101,"")))</f>
        <v>네이버 엑스퍼트 심리상담</v>
      </c>
      <c r="K34" s="14"/>
      <c r="L34" s="16">
        <f t="shared" si="3"/>
        <v>46248</v>
      </c>
    </row>
    <row r="35" ht="15.75" customHeight="1">
      <c r="A35" s="8" t="str">
        <f t="shared" si="1"/>
        <v>BM034</v>
      </c>
      <c r="B35" s="10" t="str">
        <f t="array" ref="B35">IFERROR(INDEX(competitors!$C$2:$C$101,MATCH(34,competitors!$R$2:$R$101,0)),"")</f>
        <v>정신건강</v>
      </c>
      <c r="C35" s="10" t="str">
        <f t="array" ref="C35">IFERROR(INDEX(competitors!$D$2:$D$101,MATCH(34,competitors!$R$2:$R$101,0)),"")</f>
        <v>데이터기록관리</v>
      </c>
      <c r="D35" s="10" t="str">
        <f t="array" ref="D35">IFERROR(INDEX(competitors!$H$2:$H$101,MATCH(34,competitors!$R$2:$R$101,0)),"")</f>
        <v>개인,환자</v>
      </c>
      <c r="E35" s="10" t="str">
        <f t="array" ref="E35">IFERROR(INDEX(competitors!$I$2:$I$101,MATCH(34,competitors!$R$2:$R$101,0)),"")</f>
        <v>신체화 장애 관리 서비스</v>
      </c>
      <c r="F35" s="10" t="str">
        <f t="array" ref="F35">IFERROR(INDEX(competitors!$L$2:$L$101,MATCH(34,competitors!$R$2:$R$101,0)),"")</f>
        <v>Digitization(디지털전환)</v>
      </c>
      <c r="G35" s="10">
        <f>IF(B35="","",COUNTIFS(competitors!$C$2:$C$101,B35,competitors!$D$2:$D$101,C35,competitors!$H$2:$H$101,D35,competitors!$I$2:$I$101,E35,competitors!$L$2:$L$101,F35,competitors!$E$2:$E$101,"한국"))</f>
        <v>1</v>
      </c>
      <c r="H35" s="10">
        <f>IF(B35="","",COUNTIFS(competitors!$C$2:$C$101,B35,competitors!$D$2:$D$101,C35,competitors!$H$2:$H$101,D35,competitors!$I$2:$I$101,E35,competitors!$L$2:$L$101,F35))</f>
        <v>1</v>
      </c>
      <c r="I35" s="10" t="str">
        <f t="shared" si="2"/>
        <v>적음</v>
      </c>
      <c r="J35" s="10" t="str">
        <f t="array" ref="J35">IF(B35="","",TEXTJOIN(", ",TRUE(),IF((competitors!$C$2:$C$101=B35)*(competitors!$D$2:$D$101=C35)*(competitors!$H$2:$H$101=D35)*(competitors!$I$2:$I$101=E35)*(competitors!$L$2:$L$101=F35),competitors!$B$2:$B$101,"")))</f>
        <v>퍼플웨일</v>
      </c>
      <c r="K35" s="14"/>
      <c r="L35" s="16">
        <f t="shared" si="3"/>
        <v>46248</v>
      </c>
    </row>
    <row r="36" ht="15.75" customHeight="1">
      <c r="A36" s="8" t="str">
        <f t="shared" si="1"/>
        <v>BM035</v>
      </c>
      <c r="B36" s="10" t="str">
        <f t="array" ref="B36">IFERROR(INDEX(competitors!$C$2:$C$101,MATCH(35,competitors!$R$2:$R$101,0)),"")</f>
        <v>정신건강</v>
      </c>
      <c r="C36" s="10" t="str">
        <f t="array" ref="C36">IFERROR(INDEX(competitors!$D$2:$D$101,MATCH(35,competitors!$R$2:$R$101,0)),"")</f>
        <v>데이터기록관리</v>
      </c>
      <c r="D36" s="10" t="str">
        <f t="array" ref="D36">IFERROR(INDEX(competitors!$H$2:$H$101,MATCH(35,competitors!$R$2:$R$101,0)),"")</f>
        <v>개인,기관</v>
      </c>
      <c r="E36" s="10" t="str">
        <f t="array" ref="E36">IFERROR(INDEX(competitors!$I$2:$I$101,MATCH(35,competitors!$R$2:$R$101,0)),"")</f>
        <v>스트레스/두뇌건강 측정 솔루션</v>
      </c>
      <c r="F36" s="10" t="str">
        <f t="array" ref="F36">IFERROR(INDEX(competitors!$L$2:$L$101,MATCH(35,competitors!$R$2:$R$101,0)),"")</f>
        <v>Sensor As A Service(센서서비스)</v>
      </c>
      <c r="G36" s="10">
        <f>IF(B36="","",COUNTIFS(competitors!$C$2:$C$101,B36,competitors!$D$2:$D$101,C36,competitors!$H$2:$H$101,D36,competitors!$I$2:$I$101,E36,competitors!$L$2:$L$101,F36,competitors!$E$2:$E$101,"한국"))</f>
        <v>1</v>
      </c>
      <c r="H36" s="10">
        <f>IF(B36="","",COUNTIFS(competitors!$C$2:$C$101,B36,competitors!$D$2:$D$101,C36,competitors!$H$2:$H$101,D36,competitors!$I$2:$I$101,E36,competitors!$L$2:$L$101,F36))</f>
        <v>1</v>
      </c>
      <c r="I36" s="10" t="str">
        <f t="shared" si="2"/>
        <v>적음</v>
      </c>
      <c r="J36" s="10" t="str">
        <f t="array" ref="J36">IF(B36="","",TEXTJOIN(", ",TRUE(),IF((competitors!$C$2:$C$101=B36)*(competitors!$D$2:$D$101=C36)*(competitors!$H$2:$H$101=D36)*(competitors!$I$2:$I$101=E36)*(competitors!$L$2:$L$101=F36),competitors!$B$2:$B$101,"")))</f>
        <v>옴니핏 마인드케어</v>
      </c>
      <c r="K36" s="14"/>
      <c r="L36" s="16">
        <f t="shared" si="3"/>
        <v>46248</v>
      </c>
    </row>
    <row r="37" ht="15.75" customHeight="1">
      <c r="A37" s="8" t="str">
        <f t="shared" si="1"/>
        <v>BM036</v>
      </c>
      <c r="B37" s="10" t="str">
        <f t="array" ref="B37">IFERROR(INDEX(competitors!$C$2:$C$101,MATCH(36,competitors!$R$2:$R$101,0)),"")</f>
        <v>정신건강</v>
      </c>
      <c r="C37" s="10" t="str">
        <f t="array" ref="C37">IFERROR(INDEX(competitors!$D$2:$D$101,MATCH(36,competitors!$R$2:$R$101,0)),"")</f>
        <v>매칭연결</v>
      </c>
      <c r="D37" s="10" t="str">
        <f t="array" ref="D37">IFERROR(INDEX(competitors!$H$2:$H$101,MATCH(36,competitors!$R$2:$R$101,0)),"")</f>
        <v>청년</v>
      </c>
      <c r="E37" s="10" t="str">
        <f t="array" ref="E37">IFERROR(INDEX(competitors!$I$2:$I$101,MATCH(36,competitors!$R$2:$R$101,0)),"")</f>
        <v>청년 마음건강 상담 서비스</v>
      </c>
      <c r="F37" s="10" t="str">
        <f t="array" ref="F37">IFERROR(INDEX(competitors!$L$2:$L$101,MATCH(36,competitors!$R$2:$R$101,0)),"")</f>
        <v>Self-service(셀프서비스)</v>
      </c>
      <c r="G37" s="10">
        <f>IF(B37="","",COUNTIFS(competitors!$C$2:$C$101,B37,competitors!$D$2:$D$101,C37,competitors!$H$2:$H$101,D37,competitors!$I$2:$I$101,E37,competitors!$L$2:$L$101,F37,competitors!$E$2:$E$101,"한국"))</f>
        <v>1</v>
      </c>
      <c r="H37" s="10">
        <f>IF(B37="","",COUNTIFS(competitors!$C$2:$C$101,B37,competitors!$D$2:$D$101,C37,competitors!$H$2:$H$101,D37,competitors!$I$2:$I$101,E37,competitors!$L$2:$L$101,F37))</f>
        <v>1</v>
      </c>
      <c r="I37" s="10" t="str">
        <f t="shared" si="2"/>
        <v>적음</v>
      </c>
      <c r="J37" s="10" t="str">
        <f t="array" ref="J37">IF(B37="","",TEXTJOIN(", ",TRUE(),IF((competitors!$C$2:$C$101=B37)*(competitors!$D$2:$D$101=C37)*(competitors!$H$2:$H$101=D37)*(competitors!$I$2:$I$101=E37)*(competitors!$L$2:$L$101=F37),competitors!$B$2:$B$101,"")))</f>
        <v>상담 오랑</v>
      </c>
      <c r="K37" s="14"/>
      <c r="L37" s="16">
        <f t="shared" si="3"/>
        <v>46248</v>
      </c>
    </row>
    <row r="38" ht="15.75" customHeight="1">
      <c r="A38" s="8" t="str">
        <f t="shared" si="1"/>
        <v>BM037</v>
      </c>
      <c r="B38" s="10" t="str">
        <f t="array" ref="B38">IFERROR(INDEX(competitors!$C$2:$C$101,MATCH(37,competitors!$R$2:$R$101,0)),"")</f>
        <v>만성질환</v>
      </c>
      <c r="C38" s="10" t="str">
        <f t="array" ref="C38">IFERROR(INDEX(competitors!$D$2:$D$101,MATCH(37,competitors!$R$2:$R$101,0)),"")</f>
        <v>데이터기록관리</v>
      </c>
      <c r="D38" s="10" t="str">
        <f t="array" ref="D38">IFERROR(INDEX(competitors!$H$2:$H$101,MATCH(37,competitors!$R$2:$R$101,0)),"")</f>
        <v>개인,당뇨위험군,당뇨환자</v>
      </c>
      <c r="E38" s="10" t="str">
        <f t="array" ref="E38">IFERROR(INDEX(competitors!$I$2:$I$101,MATCH(37,competitors!$R$2:$R$101,0)),"")</f>
        <v>혈당/체중 관리 앱</v>
      </c>
      <c r="F38" s="10" t="str">
        <f t="array" ref="F38">IFERROR(INDEX(competitors!$L$2:$L$101,MATCH(37,competitors!$R$2:$R$101,0)),"")</f>
        <v>Freemium(프리미엄)</v>
      </c>
      <c r="G38" s="10">
        <f>IF(B38="","",COUNTIFS(competitors!$C$2:$C$101,B38,competitors!$D$2:$D$101,C38,competitors!$H$2:$H$101,D38,competitors!$I$2:$I$101,E38,competitors!$L$2:$L$101,F38,competitors!$E$2:$E$101,"한국"))</f>
        <v>1</v>
      </c>
      <c r="H38" s="10">
        <f>IF(B38="","",COUNTIFS(competitors!$C$2:$C$101,B38,competitors!$D$2:$D$101,C38,competitors!$H$2:$H$101,D38,competitors!$I$2:$I$101,E38,competitors!$L$2:$L$101,F38))</f>
        <v>1</v>
      </c>
      <c r="I38" s="10" t="str">
        <f t="shared" si="2"/>
        <v>적음</v>
      </c>
      <c r="J38" s="10" t="str">
        <f t="array" ref="J38">IF(B38="","",TEXTJOIN(", ",TRUE(),IF((competitors!$C$2:$C$101=B38)*(competitors!$D$2:$D$101=C38)*(competitors!$H$2:$H$101=D38)*(competitors!$I$2:$I$101=E38)*(competitors!$L$2:$L$101=F38),competitors!$B$2:$B$101,"")))</f>
        <v>카카오헬스케어 파스타</v>
      </c>
      <c r="K38" s="14"/>
      <c r="L38" s="16">
        <f t="shared" si="3"/>
        <v>46248</v>
      </c>
    </row>
    <row r="39" ht="15.75" customHeight="1">
      <c r="A39" s="8" t="str">
        <f t="shared" si="1"/>
        <v>BM038</v>
      </c>
      <c r="B39" s="10" t="str">
        <f t="array" ref="B39">IFERROR(INDEX(competitors!$C$2:$C$101,MATCH(38,competitors!$R$2:$R$101,0)),"")</f>
        <v>만성질환</v>
      </c>
      <c r="C39" s="10" t="str">
        <f t="array" ref="C39">IFERROR(INDEX(competitors!$D$2:$D$101,MATCH(38,competitors!$R$2:$R$101,0)),"")</f>
        <v>데이터기록관리</v>
      </c>
      <c r="D39" s="10" t="str">
        <f t="array" ref="D39">IFERROR(INDEX(competitors!$H$2:$H$101,MATCH(38,competitors!$R$2:$R$101,0)),"")</f>
        <v>개인,당뇨환자</v>
      </c>
      <c r="E39" s="10" t="str">
        <f t="array" ref="E39">IFERROR(INDEX(competitors!$I$2:$I$101,MATCH(38,competitors!$R$2:$R$101,0)),"")</f>
        <v>혈당/식단/체중 관리 앱</v>
      </c>
      <c r="F39" s="10" t="str">
        <f t="array" ref="F39">IFERROR(INDEX(competitors!$L$2:$L$101,MATCH(38,competitors!$R$2:$R$101,0)),"")</f>
        <v>Freemium(프리미엄)</v>
      </c>
      <c r="G39" s="10">
        <f>IF(B39="","",COUNTIFS(competitors!$C$2:$C$101,B39,competitors!$D$2:$D$101,C39,competitors!$H$2:$H$101,D39,competitors!$I$2:$I$101,E39,competitors!$L$2:$L$101,F39,competitors!$E$2:$E$101,"한국"))</f>
        <v>1</v>
      </c>
      <c r="H39" s="10">
        <f>IF(B39="","",COUNTIFS(competitors!$C$2:$C$101,B39,competitors!$D$2:$D$101,C39,competitors!$H$2:$H$101,D39,competitors!$I$2:$I$101,E39,competitors!$L$2:$L$101,F39))</f>
        <v>1</v>
      </c>
      <c r="I39" s="10" t="str">
        <f t="shared" si="2"/>
        <v>적음</v>
      </c>
      <c r="J39" s="10" t="str">
        <f t="array" ref="J39">IF(B39="","",TEXTJOIN(", ",TRUE(),IF((competitors!$C$2:$C$101=B39)*(competitors!$D$2:$D$101=C39)*(competitors!$H$2:$H$101=D39)*(competitors!$I$2:$I$101=E39)*(competitors!$L$2:$L$101=F39),competitors!$B$2:$B$101,"")))</f>
        <v>닥터다이어리</v>
      </c>
      <c r="K39" s="14"/>
      <c r="L39" s="16">
        <f t="shared" si="3"/>
        <v>46248</v>
      </c>
    </row>
    <row r="40" ht="15.75" customHeight="1">
      <c r="A40" s="8" t="str">
        <f t="shared" si="1"/>
        <v>BM039</v>
      </c>
      <c r="B40" s="10" t="str">
        <f t="array" ref="B40">IFERROR(INDEX(competitors!$C$2:$C$101,MATCH(39,competitors!$R$2:$R$101,0)),"")</f>
        <v>만성질환</v>
      </c>
      <c r="C40" s="10" t="str">
        <f t="array" ref="C40">IFERROR(INDEX(competitors!$D$2:$D$101,MATCH(39,competitors!$R$2:$R$101,0)),"")</f>
        <v>개입치료</v>
      </c>
      <c r="D40" s="10" t="str">
        <f t="array" ref="D40">IFERROR(INDEX(competitors!$H$2:$H$101,MATCH(39,competitors!$R$2:$R$101,0)),"")</f>
        <v>개인,기업임직원,만성질환자</v>
      </c>
      <c r="E40" s="10" t="str">
        <f t="array" ref="E40">IFERROR(INDEX(competitors!$I$2:$I$101,MATCH(39,competitors!$R$2:$R$101,0)),"")</f>
        <v>AI 건강관리 컴패니언 앱</v>
      </c>
      <c r="F40" s="10" t="str">
        <f t="array" ref="F40">IFERROR(INDEX(competitors!$L$2:$L$101,MATCH(39,competitors!$R$2:$R$101,0)),"")</f>
        <v>Subscription(구독형)</v>
      </c>
      <c r="G40" s="10">
        <f>IF(B40="","",COUNTIFS(competitors!$C$2:$C$101,B40,competitors!$D$2:$D$101,C40,competitors!$H$2:$H$101,D40,competitors!$I$2:$I$101,E40,competitors!$L$2:$L$101,F40,competitors!$E$2:$E$101,"한국"))</f>
        <v>1</v>
      </c>
      <c r="H40" s="10">
        <f>IF(B40="","",COUNTIFS(competitors!$C$2:$C$101,B40,competitors!$D$2:$D$101,C40,competitors!$H$2:$H$101,D40,competitors!$I$2:$I$101,E40,competitors!$L$2:$L$101,F40))</f>
        <v>1</v>
      </c>
      <c r="I40" s="10" t="str">
        <f t="shared" si="2"/>
        <v>적음</v>
      </c>
      <c r="J40" s="10" t="str">
        <f t="array" ref="J40">IF(B40="","",TEXTJOIN(", ",TRUE(),IF((competitors!$C$2:$C$101=B40)*(competitors!$D$2:$D$101=C40)*(competitors!$H$2:$H$101=D40)*(competitors!$I$2:$I$101=E40)*(competitors!$L$2:$L$101=F40),competitors!$B$2:$B$101,"")))</f>
        <v>휴레이포지티브 Balance</v>
      </c>
      <c r="K40" s="14"/>
      <c r="L40" s="16">
        <f t="shared" si="3"/>
        <v>46248</v>
      </c>
    </row>
    <row r="41" ht="15.75" customHeight="1">
      <c r="A41" s="8" t="str">
        <f t="shared" si="1"/>
        <v>BM040</v>
      </c>
      <c r="B41" s="10" t="str">
        <f t="array" ref="B41">IFERROR(INDEX(competitors!$C$2:$C$101,MATCH(40,competitors!$R$2:$R$101,0)),"")</f>
        <v>만성질환</v>
      </c>
      <c r="C41" s="10" t="str">
        <f t="array" ref="C41">IFERROR(INDEX(competitors!$D$2:$D$101,MATCH(40,competitors!$R$2:$R$101,0)),"")</f>
        <v>매칭연결</v>
      </c>
      <c r="D41" s="10" t="str">
        <f t="array" ref="D41">IFERROR(INDEX(competitors!$H$2:$H$101,MATCH(40,competitors!$R$2:$R$101,0)),"")</f>
        <v>의료진,환자</v>
      </c>
      <c r="E41" s="10" t="str">
        <f t="array" ref="E41">IFERROR(INDEX(competitors!$I$2:$I$101,MATCH(40,competitors!$R$2:$R$101,0)),"")</f>
        <v>스마트 진료/환자 커뮤니케이션 플랫폼</v>
      </c>
      <c r="F41" s="10" t="str">
        <f t="array" ref="F41">IFERROR(INDEX(competitors!$L$2:$L$101,MATCH(40,competitors!$R$2:$R$101,0)),"")</f>
        <v>Subscription(구독형)</v>
      </c>
      <c r="G41" s="10">
        <f>IF(B41="","",COUNTIFS(competitors!$C$2:$C$101,B41,competitors!$D$2:$D$101,C41,competitors!$H$2:$H$101,D41,competitors!$I$2:$I$101,E41,competitors!$L$2:$L$101,F41,competitors!$E$2:$E$101,"한국"))</f>
        <v>1</v>
      </c>
      <c r="H41" s="10">
        <f>IF(B41="","",COUNTIFS(competitors!$C$2:$C$101,B41,competitors!$D$2:$D$101,C41,competitors!$H$2:$H$101,D41,competitors!$I$2:$I$101,E41,competitors!$L$2:$L$101,F41))</f>
        <v>1</v>
      </c>
      <c r="I41" s="10" t="str">
        <f t="shared" si="2"/>
        <v>적음</v>
      </c>
      <c r="J41" s="10" t="str">
        <f t="array" ref="J41">IF(B41="","",TEXTJOIN(", ",TRUE(),IF((competitors!$C$2:$C$101=B41)*(competitors!$D$2:$D$101=C41)*(competitors!$H$2:$H$101=D41)*(competitors!$I$2:$I$101=E41)*(competitors!$L$2:$L$101=F41),competitors!$B$2:$B$101,"")))</f>
        <v>아이쿱 DoctorVice</v>
      </c>
      <c r="K41" s="14"/>
      <c r="L41" s="16">
        <f t="shared" si="3"/>
        <v>46248</v>
      </c>
    </row>
    <row r="42" ht="15.75" customHeight="1">
      <c r="A42" s="8" t="str">
        <f t="shared" si="1"/>
        <v>BM041</v>
      </c>
      <c r="B42" s="10" t="str">
        <f t="array" ref="B42">IFERROR(INDEX(competitors!$C$2:$C$101,MATCH(41,competitors!$R$2:$R$101,0)),"")</f>
        <v>만성질환</v>
      </c>
      <c r="C42" s="10" t="str">
        <f t="array" ref="C42">IFERROR(INDEX(competitors!$D$2:$D$101,MATCH(41,competitors!$R$2:$R$101,0)),"")</f>
        <v>데이터기록관리</v>
      </c>
      <c r="D42" s="10" t="str">
        <f t="array" ref="D42">IFERROR(INDEX(competitors!$H$2:$H$101,MATCH(41,competitors!$R$2:$R$101,0)),"")</f>
        <v>고혈압환자,당뇨환자,의료진</v>
      </c>
      <c r="E42" s="10" t="str">
        <f t="array" ref="E42">IFERROR(INDEX(competitors!$I$2:$I$101,MATCH(41,competitors!$R$2:$R$101,0)),"")</f>
        <v>일차의료 만성질환 관리 앱</v>
      </c>
      <c r="F42" s="10" t="str">
        <f t="array" ref="F42">IFERROR(INDEX(competitors!$L$2:$L$101,MATCH(41,competitors!$R$2:$R$101,0)),"")</f>
        <v>Digitization(디지털전환)</v>
      </c>
      <c r="G42" s="10">
        <f>IF(B42="","",COUNTIFS(competitors!$C$2:$C$101,B42,competitors!$D$2:$D$101,C42,competitors!$H$2:$H$101,D42,competitors!$I$2:$I$101,E42,competitors!$L$2:$L$101,F42,competitors!$E$2:$E$101,"한국"))</f>
        <v>1</v>
      </c>
      <c r="H42" s="10">
        <f>IF(B42="","",COUNTIFS(competitors!$C$2:$C$101,B42,competitors!$D$2:$D$101,C42,competitors!$H$2:$H$101,D42,competitors!$I$2:$I$101,E42,competitors!$L$2:$L$101,F42))</f>
        <v>1</v>
      </c>
      <c r="I42" s="10" t="str">
        <f t="shared" si="2"/>
        <v>적음</v>
      </c>
      <c r="J42" s="10" t="str">
        <f t="array" ref="J42">IF(B42="","",TEXTJOIN(", ",TRUE(),IF((competitors!$C$2:$C$101=B42)*(competitors!$D$2:$D$101=C42)*(competitors!$H$2:$H$101=D42)*(competitors!$I$2:$I$101=E42)*(competitors!$L$2:$L$101=F42),competitors!$B$2:$B$101,"")))</f>
        <v>엠서클 웰체크</v>
      </c>
      <c r="K42" s="14"/>
      <c r="L42" s="16">
        <f t="shared" si="3"/>
        <v>46248</v>
      </c>
    </row>
    <row r="43" ht="15.75" customHeight="1">
      <c r="A43" s="8" t="str">
        <f t="shared" si="1"/>
        <v>BM042</v>
      </c>
      <c r="B43" s="10" t="str">
        <f t="array" ref="B43">IFERROR(INDEX(competitors!$C$2:$C$101,MATCH(42,competitors!$R$2:$R$101,0)),"")</f>
        <v>만성질환</v>
      </c>
      <c r="C43" s="10" t="str">
        <f t="array" ref="C43">IFERROR(INDEX(competitors!$D$2:$D$101,MATCH(42,competitors!$R$2:$R$101,0)),"")</f>
        <v>데이터기록관리</v>
      </c>
      <c r="D43" s="10" t="str">
        <f t="array" ref="D43">IFERROR(INDEX(competitors!$H$2:$H$101,MATCH(42,competitors!$R$2:$R$101,0)),"")</f>
        <v>당뇨환자</v>
      </c>
      <c r="E43" s="10" t="str">
        <f t="array" ref="E43">IFERROR(INDEX(competitors!$I$2:$I$101,MATCH(42,competitors!$R$2:$R$101,0)),"")</f>
        <v>연속혈당측정기/혈당관리 솔루션</v>
      </c>
      <c r="F43" s="10" t="str">
        <f t="array" ref="F43">IFERROR(INDEX(competitors!$L$2:$L$101,MATCH(42,competitors!$R$2:$R$101,0)),"")</f>
        <v>Sensor As A Service(센서서비스)</v>
      </c>
      <c r="G43" s="10">
        <f>IF(B43="","",COUNTIFS(competitors!$C$2:$C$101,B43,competitors!$D$2:$D$101,C43,competitors!$H$2:$H$101,D43,competitors!$I$2:$I$101,E43,competitors!$L$2:$L$101,F43,competitors!$E$2:$E$101,"한국"))</f>
        <v>1</v>
      </c>
      <c r="H43" s="10">
        <f>IF(B43="","",COUNTIFS(competitors!$C$2:$C$101,B43,competitors!$D$2:$D$101,C43,competitors!$H$2:$H$101,D43,competitors!$I$2:$I$101,E43,competitors!$L$2:$L$101,F43))</f>
        <v>1</v>
      </c>
      <c r="I43" s="10" t="str">
        <f t="shared" si="2"/>
        <v>적음</v>
      </c>
      <c r="J43" s="10" t="str">
        <f t="array" ref="J43">IF(B43="","",TEXTJOIN(", ",TRUE(),IF((competitors!$C$2:$C$101=B43)*(competitors!$D$2:$D$101=C43)*(competitors!$H$2:$H$101=D43)*(competitors!$I$2:$I$101=E43)*(competitors!$L$2:$L$101=F43),competitors!$B$2:$B$101,"")))</f>
        <v>아이센스 케어센스 에어</v>
      </c>
      <c r="K43" s="14"/>
      <c r="L43" s="16">
        <f t="shared" si="3"/>
        <v>46248</v>
      </c>
    </row>
    <row r="44" ht="15.75" customHeight="1">
      <c r="A44" s="8" t="str">
        <f t="shared" si="1"/>
        <v>BM043</v>
      </c>
      <c r="B44" s="10" t="str">
        <f t="array" ref="B44">IFERROR(INDEX(competitors!$C$2:$C$101,MATCH(43,competitors!$R$2:$R$101,0)),"")</f>
        <v>만성질환</v>
      </c>
      <c r="C44" s="10" t="str">
        <f t="array" ref="C44">IFERROR(INDEX(competitors!$D$2:$D$101,MATCH(43,competitors!$R$2:$R$101,0)),"")</f>
        <v>데이터기록관리</v>
      </c>
      <c r="D44" s="10" t="str">
        <f t="array" ref="D44">IFERROR(INDEX(competitors!$H$2:$H$101,MATCH(43,competitors!$R$2:$R$101,0)),"")</f>
        <v>개인,병원,피트니스센터,주거단지</v>
      </c>
      <c r="E44" s="10" t="str">
        <f t="array" ref="E44">IFERROR(INDEX(competitors!$I$2:$I$101,MATCH(43,competitors!$R$2:$R$101,0)),"")</f>
        <v>체성분/건강 데이터 관리 솔루션</v>
      </c>
      <c r="F44" s="10" t="str">
        <f t="array" ref="F44">IFERROR(INDEX(competitors!$L$2:$L$101,MATCH(43,competitors!$R$2:$R$101,0)),"")</f>
        <v>Sensor As A Service(센서서비스)</v>
      </c>
      <c r="G44" s="10">
        <f>IF(B44="","",COUNTIFS(competitors!$C$2:$C$101,B44,competitors!$D$2:$D$101,C44,competitors!$H$2:$H$101,D44,competitors!$I$2:$I$101,E44,competitors!$L$2:$L$101,F44,competitors!$E$2:$E$101,"한국"))</f>
        <v>1</v>
      </c>
      <c r="H44" s="10">
        <f>IF(B44="","",COUNTIFS(competitors!$C$2:$C$101,B44,competitors!$D$2:$D$101,C44,competitors!$H$2:$H$101,D44,competitors!$I$2:$I$101,E44,competitors!$L$2:$L$101,F44))</f>
        <v>1</v>
      </c>
      <c r="I44" s="10" t="str">
        <f t="shared" si="2"/>
        <v>적음</v>
      </c>
      <c r="J44" s="10" t="str">
        <f t="array" ref="J44">IF(B44="","",TEXTJOIN(", ",TRUE(),IF((competitors!$C$2:$C$101=B44)*(competitors!$D$2:$D$101=C44)*(competitors!$H$2:$H$101=D44)*(competitors!$I$2:$I$101=E44)*(competitors!$L$2:$L$101=F44),competitors!$B$2:$B$101,"")))</f>
        <v>인바디</v>
      </c>
      <c r="K44" s="14"/>
      <c r="L44" s="16">
        <f t="shared" si="3"/>
        <v>46248</v>
      </c>
    </row>
    <row r="45" ht="15.75" customHeight="1">
      <c r="A45" s="8" t="str">
        <f t="shared" si="1"/>
        <v>BM044</v>
      </c>
      <c r="B45" s="10" t="str">
        <f t="array" ref="B45">IFERROR(INDEX(competitors!$C$2:$C$101,MATCH(44,competitors!$R$2:$R$101,0)),"")</f>
        <v>만성질환</v>
      </c>
      <c r="C45" s="10" t="str">
        <f t="array" ref="C45">IFERROR(INDEX(competitors!$D$2:$D$101,MATCH(44,competitors!$R$2:$R$101,0)),"")</f>
        <v>데이터기록관리</v>
      </c>
      <c r="D45" s="10" t="str">
        <f t="array" ref="D45">IFERROR(INDEX(competitors!$H$2:$H$101,MATCH(44,competitors!$R$2:$R$101,0)),"")</f>
        <v>병원,의료진,심장질환환자</v>
      </c>
      <c r="E45" s="10" t="str">
        <f t="array" ref="E45">IFERROR(INDEX(competitors!$I$2:$I$101,MATCH(44,competitors!$R$2:$R$101,0)),"")</f>
        <v>웨어러블 원격 환자 모니터링</v>
      </c>
      <c r="F45" s="10" t="str">
        <f t="array" ref="F45">IFERROR(INDEX(competitors!$L$2:$L$101,MATCH(44,competitors!$R$2:$R$101,0)),"")</f>
        <v>Sensor As A Service(센서서비스)</v>
      </c>
      <c r="G45" s="10">
        <f>IF(B45="","",COUNTIFS(competitors!$C$2:$C$101,B45,competitors!$D$2:$D$101,C45,competitors!$H$2:$H$101,D45,competitors!$I$2:$I$101,E45,competitors!$L$2:$L$101,F45,competitors!$E$2:$E$101,"한국"))</f>
        <v>1</v>
      </c>
      <c r="H45" s="10">
        <f>IF(B45="","",COUNTIFS(competitors!$C$2:$C$101,B45,competitors!$D$2:$D$101,C45,competitors!$H$2:$H$101,D45,competitors!$I$2:$I$101,E45,competitors!$L$2:$L$101,F45))</f>
        <v>1</v>
      </c>
      <c r="I45" s="10" t="str">
        <f t="shared" si="2"/>
        <v>적음</v>
      </c>
      <c r="J45" s="10" t="str">
        <f t="array" ref="J45">IF(B45="","",TEXTJOIN(", ",TRUE(),IF((competitors!$C$2:$C$101=B45)*(competitors!$D$2:$D$101=C45)*(competitors!$H$2:$H$101=D45)*(competitors!$I$2:$I$101=E45)*(competitors!$L$2:$L$101=F45),competitors!$B$2:$B$101,"")))</f>
        <v>메쥬 하이카디</v>
      </c>
      <c r="K45" s="14"/>
      <c r="L45" s="16">
        <f t="shared" si="3"/>
        <v>46248</v>
      </c>
    </row>
    <row r="46" ht="15.75" customHeight="1">
      <c r="A46" s="8" t="str">
        <f t="shared" si="1"/>
        <v>BM045</v>
      </c>
      <c r="B46" s="10" t="str">
        <f t="array" ref="B46">IFERROR(INDEX(competitors!$C$2:$C$101,MATCH(45,competitors!$R$2:$R$101,0)),"")</f>
        <v>만성질환</v>
      </c>
      <c r="C46" s="10" t="str">
        <f t="array" ref="C46">IFERROR(INDEX(competitors!$D$2:$D$101,MATCH(45,competitors!$R$2:$R$101,0)),"")</f>
        <v>정보제공</v>
      </c>
      <c r="D46" s="10" t="str">
        <f t="array" ref="D46">IFERROR(INDEX(competitors!$H$2:$H$101,MATCH(45,competitors!$R$2:$R$101,0)),"")</f>
        <v>의료진,심혈관질환위험군</v>
      </c>
      <c r="E46" s="10" t="str">
        <f t="array" ref="E46">IFERROR(INDEX(competitors!$I$2:$I$101,MATCH(45,competitors!$R$2:$R$101,0)),"")</f>
        <v>AI 심전도 분석 솔루션</v>
      </c>
      <c r="F46" s="10" t="str">
        <f t="array" ref="F46">IFERROR(INDEX(competitors!$L$2:$L$101,MATCH(45,competitors!$R$2:$R$101,0)),"")</f>
        <v>Leverage Customer Data(데이터활용)</v>
      </c>
      <c r="G46" s="10">
        <f>IF(B46="","",COUNTIFS(competitors!$C$2:$C$101,B46,competitors!$D$2:$D$101,C46,competitors!$H$2:$H$101,D46,competitors!$I$2:$I$101,E46,competitors!$L$2:$L$101,F46,competitors!$E$2:$E$101,"한국"))</f>
        <v>1</v>
      </c>
      <c r="H46" s="10">
        <f>IF(B46="","",COUNTIFS(competitors!$C$2:$C$101,B46,competitors!$D$2:$D$101,C46,competitors!$H$2:$H$101,D46,competitors!$I$2:$I$101,E46,competitors!$L$2:$L$101,F46))</f>
        <v>1</v>
      </c>
      <c r="I46" s="10" t="str">
        <f t="shared" si="2"/>
        <v>적음</v>
      </c>
      <c r="J46" s="10" t="str">
        <f t="array" ref="J46">IF(B46="","",TEXTJOIN(", ",TRUE(),IF((competitors!$C$2:$C$101=B46)*(competitors!$D$2:$D$101=C46)*(competitors!$H$2:$H$101=D46)*(competitors!$I$2:$I$101=E46)*(competitors!$L$2:$L$101=F46),competitors!$B$2:$B$101,"")))</f>
        <v>딥카디오</v>
      </c>
      <c r="K46" s="14"/>
      <c r="L46" s="16">
        <f t="shared" si="3"/>
        <v>46248</v>
      </c>
    </row>
    <row r="47" ht="15.75" customHeight="1">
      <c r="A47" s="8" t="str">
        <f t="shared" si="1"/>
        <v>BM046</v>
      </c>
      <c r="B47" s="10" t="str">
        <f t="array" ref="B47">IFERROR(INDEX(competitors!$C$2:$C$101,MATCH(46,competitors!$R$2:$R$101,0)),"")</f>
        <v>만성질환</v>
      </c>
      <c r="C47" s="10" t="str">
        <f t="array" ref="C47">IFERROR(INDEX(competitors!$D$2:$D$101,MATCH(46,competitors!$R$2:$R$101,0)),"")</f>
        <v>정보제공</v>
      </c>
      <c r="D47" s="10" t="str">
        <f t="array" ref="D47">IFERROR(INDEX(competitors!$H$2:$H$101,MATCH(46,competitors!$R$2:$R$101,0)),"")</f>
        <v>개인,기업임직원</v>
      </c>
      <c r="E47" s="10" t="str">
        <f t="array" ref="E47">IFERROR(INDEX(competitors!$I$2:$I$101,MATCH(46,competitors!$R$2:$R$101,0)),"")</f>
        <v>개인 맞춤 건강관리 앱</v>
      </c>
      <c r="F47" s="10" t="str">
        <f t="array" ref="F47">IFERROR(INDEX(competitors!$L$2:$L$101,MATCH(46,competitors!$R$2:$R$101,0)),"")</f>
        <v>Digitization(디지털전환)</v>
      </c>
      <c r="G47" s="10">
        <f>IF(B47="","",COUNTIFS(competitors!$C$2:$C$101,B47,competitors!$D$2:$D$101,C47,competitors!$H$2:$H$101,D47,competitors!$I$2:$I$101,E47,competitors!$L$2:$L$101,F47,competitors!$E$2:$E$101,"한국"))</f>
        <v>1</v>
      </c>
      <c r="H47" s="10">
        <f>IF(B47="","",COUNTIFS(competitors!$C$2:$C$101,B47,competitors!$D$2:$D$101,C47,competitors!$H$2:$H$101,D47,competitors!$I$2:$I$101,E47,competitors!$L$2:$L$101,F47))</f>
        <v>1</v>
      </c>
      <c r="I47" s="10" t="str">
        <f t="shared" si="2"/>
        <v>적음</v>
      </c>
      <c r="J47" s="10" t="str">
        <f t="array" ref="J47">IF(B47="","",TEXTJOIN(", ",TRUE(),IF((competitors!$C$2:$C$101=B47)*(competitors!$D$2:$D$101=C47)*(competitors!$H$2:$H$101=D47)*(competitors!$I$2:$I$101=E47)*(competitors!$L$2:$L$101=F47),competitors!$B$2:$B$101,"")))</f>
        <v>GC케어 어떠케어</v>
      </c>
      <c r="K47" s="14"/>
      <c r="L47" s="16">
        <f t="shared" si="3"/>
        <v>46248</v>
      </c>
    </row>
    <row r="48" ht="15.75" customHeight="1">
      <c r="A48" s="8" t="str">
        <f t="shared" si="1"/>
        <v>BM047</v>
      </c>
      <c r="B48" s="10" t="str">
        <f t="array" ref="B48">IFERROR(INDEX(competitors!$C$2:$C$101,MATCH(47,competitors!$R$2:$R$101,0)),"")</f>
        <v>만성질환</v>
      </c>
      <c r="C48" s="10" t="str">
        <f t="array" ref="C48">IFERROR(INDEX(competitors!$D$2:$D$101,MATCH(47,competitors!$R$2:$R$101,0)),"")</f>
        <v>데이터기록관리</v>
      </c>
      <c r="D48" s="10" t="str">
        <f t="array" ref="D48">IFERROR(INDEX(competitors!$H$2:$H$101,MATCH(47,competitors!$R$2:$R$101,0)),"")</f>
        <v>개인,복약관리사용자</v>
      </c>
      <c r="E48" s="10" t="str">
        <f t="array" ref="E48">IFERROR(INDEX(competitors!$I$2:$I$101,MATCH(47,competitors!$R$2:$R$101,0)),"")</f>
        <v>복약/건강정보 관리 앱</v>
      </c>
      <c r="F48" s="10" t="str">
        <f t="array" ref="F48">IFERROR(INDEX(competitors!$L$2:$L$101,MATCH(47,competitors!$R$2:$R$101,0)),"")</f>
        <v>Freemium(프리미엄)</v>
      </c>
      <c r="G48" s="10">
        <f>IF(B48="","",COUNTIFS(competitors!$C$2:$C$101,B48,competitors!$D$2:$D$101,C48,competitors!$H$2:$H$101,D48,competitors!$I$2:$I$101,E48,competitors!$L$2:$L$101,F48,competitors!$E$2:$E$101,"한국"))</f>
        <v>1</v>
      </c>
      <c r="H48" s="10">
        <f>IF(B48="","",COUNTIFS(competitors!$C$2:$C$101,B48,competitors!$D$2:$D$101,C48,competitors!$H$2:$H$101,D48,competitors!$I$2:$I$101,E48,competitors!$L$2:$L$101,F48))</f>
        <v>1</v>
      </c>
      <c r="I48" s="10" t="str">
        <f t="shared" si="2"/>
        <v>적음</v>
      </c>
      <c r="J48" s="10" t="str">
        <f t="array" ref="J48">IF(B48="","",TEXTJOIN(", ",TRUE(),IF((competitors!$C$2:$C$101=B48)*(competitors!$D$2:$D$101=C48)*(competitors!$H$2:$H$101=D48)*(competitors!$I$2:$I$101=E48)*(competitors!$L$2:$L$101=F48),competitors!$B$2:$B$101,"")))</f>
        <v>파프리카케어</v>
      </c>
      <c r="K48" s="14"/>
      <c r="L48" s="16">
        <f t="shared" si="3"/>
        <v>46248</v>
      </c>
    </row>
    <row r="49" ht="15.75" customHeight="1">
      <c r="A49" s="8" t="str">
        <f t="shared" si="1"/>
        <v>BM048</v>
      </c>
      <c r="B49" s="10" t="str">
        <f t="array" ref="B49">IFERROR(INDEX(competitors!$C$2:$C$101,MATCH(48,competitors!$R$2:$R$101,0)),"")</f>
        <v>만성질환</v>
      </c>
      <c r="C49" s="10" t="str">
        <f t="array" ref="C49">IFERROR(INDEX(competitors!$D$2:$D$101,MATCH(48,competitors!$R$2:$R$101,0)),"")</f>
        <v>개입치료</v>
      </c>
      <c r="D49" s="10" t="str">
        <f t="array" ref="D49">IFERROR(INDEX(competitors!$H$2:$H$101,MATCH(48,competitors!$R$2:$R$101,0)),"")</f>
        <v>암환자,보호자</v>
      </c>
      <c r="E49" s="10" t="str">
        <f t="array" ref="E49">IFERROR(INDEX(competitors!$I$2:$I$101,MATCH(48,competitors!$R$2:$R$101,0)),"")</f>
        <v>암 환자 관리/교육 서비스</v>
      </c>
      <c r="F49" s="10" t="str">
        <f t="array" ref="F49">IFERROR(INDEX(competitors!$L$2:$L$101,MATCH(48,competitors!$R$2:$R$101,0)),"")</f>
        <v>Subscription(구독형)</v>
      </c>
      <c r="G49" s="10">
        <f>IF(B49="","",COUNTIFS(competitors!$C$2:$C$101,B49,competitors!$D$2:$D$101,C49,competitors!$H$2:$H$101,D49,competitors!$I$2:$I$101,E49,competitors!$L$2:$L$101,F49,competitors!$E$2:$E$101,"한국"))</f>
        <v>1</v>
      </c>
      <c r="H49" s="10">
        <f>IF(B49="","",COUNTIFS(competitors!$C$2:$C$101,B49,competitors!$D$2:$D$101,C49,competitors!$H$2:$H$101,D49,competitors!$I$2:$I$101,E49,competitors!$L$2:$L$101,F49))</f>
        <v>1</v>
      </c>
      <c r="I49" s="10" t="str">
        <f t="shared" si="2"/>
        <v>적음</v>
      </c>
      <c r="J49" s="10" t="str">
        <f t="array" ref="J49">IF(B49="","",TEXTJOIN(", ",TRUE(),IF((competitors!$C$2:$C$101=B49)*(competitors!$D$2:$D$101=C49)*(competitors!$H$2:$H$101=D49)*(competitors!$I$2:$I$101=E49)*(competitors!$L$2:$L$101=F49),competitors!$B$2:$B$101,"")))</f>
        <v>세컨드닥터</v>
      </c>
      <c r="K49" s="14"/>
      <c r="L49" s="16">
        <f t="shared" si="3"/>
        <v>46248</v>
      </c>
    </row>
    <row r="50" ht="15.75" customHeight="1">
      <c r="A50" s="8" t="str">
        <f t="shared" si="1"/>
        <v>BM049</v>
      </c>
      <c r="B50" s="10" t="str">
        <f t="array" ref="B50">IFERROR(INDEX(competitors!$C$2:$C$101,MATCH(49,competitors!$R$2:$R$101,0)),"")</f>
        <v>만성질환</v>
      </c>
      <c r="C50" s="10" t="str">
        <f t="array" ref="C50">IFERROR(INDEX(competitors!$D$2:$D$101,MATCH(49,competitors!$R$2:$R$101,0)),"")</f>
        <v>데이터기록관리</v>
      </c>
      <c r="D50" s="10" t="str">
        <f t="array" ref="D50">IFERROR(INDEX(competitors!$H$2:$H$101,MATCH(49,competitors!$R$2:$R$101,0)),"")</f>
        <v>지자체,기관,개인</v>
      </c>
      <c r="E50" s="10" t="str">
        <f t="array" ref="E50">IFERROR(INDEX(competitors!$I$2:$I$101,MATCH(49,competitors!$R$2:$R$101,0)),"")</f>
        <v>스마트 건강관리/만성질환 관리 솔루션</v>
      </c>
      <c r="F50" s="10" t="str">
        <f t="array" ref="F50">IFERROR(INDEX(competitors!$L$2:$L$101,MATCH(49,competitors!$R$2:$R$101,0)),"")</f>
        <v>Digitization(디지털전환)</v>
      </c>
      <c r="G50" s="10">
        <f>IF(B50="","",COUNTIFS(competitors!$C$2:$C$101,B50,competitors!$D$2:$D$101,C50,competitors!$H$2:$H$101,D50,competitors!$I$2:$I$101,E50,competitors!$L$2:$L$101,F50,competitors!$E$2:$E$101,"한국"))</f>
        <v>1</v>
      </c>
      <c r="H50" s="10">
        <f>IF(B50="","",COUNTIFS(competitors!$C$2:$C$101,B50,competitors!$D$2:$D$101,C50,competitors!$H$2:$H$101,D50,competitors!$I$2:$I$101,E50,competitors!$L$2:$L$101,F50))</f>
        <v>1</v>
      </c>
      <c r="I50" s="10" t="str">
        <f t="shared" si="2"/>
        <v>적음</v>
      </c>
      <c r="J50" s="10" t="str">
        <f t="array" ref="J50">IF(B50="","",TEXTJOIN(", ",TRUE(),IF((competitors!$C$2:$C$101=B50)*(competitors!$D$2:$D$101=C50)*(competitors!$H$2:$H$101=D50)*(competitors!$I$2:$I$101=E50)*(competitors!$L$2:$L$101=F50),competitors!$B$2:$B$101,"")))</f>
        <v>헬스맥스</v>
      </c>
      <c r="K50" s="14"/>
      <c r="L50" s="16">
        <f t="shared" si="3"/>
        <v>46248</v>
      </c>
    </row>
    <row r="51" ht="15.75" customHeight="1">
      <c r="A51" s="8" t="str">
        <f t="shared" si="1"/>
        <v>BM050</v>
      </c>
      <c r="B51" s="10" t="str">
        <f t="array" ref="B51">IFERROR(INDEX(competitors!$C$2:$C$101,MATCH(50,competitors!$R$2:$R$101,0)),"")</f>
        <v>수면</v>
      </c>
      <c r="C51" s="10" t="str">
        <f t="array" ref="C51">IFERROR(INDEX(competitors!$D$2:$D$101,MATCH(50,competitors!$R$2:$R$101,0)),"")</f>
        <v>개입치료</v>
      </c>
      <c r="D51" s="10" t="str">
        <f t="array" ref="D51">IFERROR(INDEX(competitors!$H$2:$H$101,MATCH(50,competitors!$R$2:$R$101,0)),"")</f>
        <v>불면증환자</v>
      </c>
      <c r="E51" s="10" t="str">
        <f t="array" ref="E51">IFERROR(INDEX(competitors!$I$2:$I$101,MATCH(50,competitors!$R$2:$R$101,0)),"")</f>
        <v>앱단독</v>
      </c>
      <c r="F51" s="10" t="str">
        <f t="array" ref="F51">IFERROR(INDEX(competitors!$L$2:$L$101,MATCH(50,competitors!$R$2:$R$101,0)),"")</f>
        <v>Subscription(구독형)</v>
      </c>
      <c r="G51" s="10">
        <f>IF(B51="","",COUNTIFS(competitors!$C$2:$C$101,B51,competitors!$D$2:$D$101,C51,competitors!$H$2:$H$101,D51,competitors!$I$2:$I$101,E51,competitors!$L$2:$L$101,F51,competitors!$E$2:$E$101,"한국"))</f>
        <v>1</v>
      </c>
      <c r="H51" s="10">
        <f>IF(B51="","",COUNTIFS(competitors!$C$2:$C$101,B51,competitors!$D$2:$D$101,C51,competitors!$H$2:$H$101,D51,competitors!$I$2:$I$101,E51,competitors!$L$2:$L$101,F51))</f>
        <v>1</v>
      </c>
      <c r="I51" s="10" t="str">
        <f t="shared" si="2"/>
        <v>적음</v>
      </c>
      <c r="J51" s="10" t="str">
        <f t="array" ref="J51">IF(B51="","",TEXTJOIN(", ",TRUE(),IF((competitors!$C$2:$C$101=B51)*(competitors!$D$2:$D$101=C51)*(competitors!$H$2:$H$101=D51)*(competitors!$I$2:$I$101=E51)*(competitors!$L$2:$L$101=F51),competitors!$B$2:$B$101,"")))</f>
        <v>슬립큐(SleepQ)</v>
      </c>
      <c r="K51" s="14"/>
      <c r="L51" s="16">
        <f t="shared" si="3"/>
        <v>46248</v>
      </c>
    </row>
    <row r="52" ht="15.75" customHeight="1">
      <c r="A52" s="8" t="str">
        <f t="shared" si="1"/>
        <v>BM051</v>
      </c>
      <c r="B52" s="10" t="str">
        <f t="array" ref="B52">IFERROR(INDEX(competitors!$C$2:$C$101,MATCH(51,competitors!$R$2:$R$101,0)),"")</f>
        <v>수면</v>
      </c>
      <c r="C52" s="10" t="str">
        <f t="array" ref="C52">IFERROR(INDEX(competitors!$D$2:$D$101,MATCH(51,competitors!$R$2:$R$101,0)),"")</f>
        <v>정보제공</v>
      </c>
      <c r="D52" s="10" t="str">
        <f t="array" ref="D52">IFERROR(INDEX(competitors!$H$2:$H$101,MATCH(51,competitors!$R$2:$R$101,0)),"")</f>
        <v>전연령</v>
      </c>
      <c r="E52" s="10" t="str">
        <f t="array" ref="E52">IFERROR(INDEX(competitors!$I$2:$I$101,MATCH(51,competitors!$R$2:$R$101,0)),"")</f>
        <v>앱단독</v>
      </c>
      <c r="F52" s="10" t="str">
        <f t="array" ref="F52">IFERROR(INDEX(competitors!$L$2:$L$101,MATCH(51,competitors!$R$2:$R$101,0)),"")</f>
        <v>Subscription(구독형)</v>
      </c>
      <c r="G52" s="10">
        <f>IF(B52="","",COUNTIFS(competitors!$C$2:$C$101,B52,competitors!$D$2:$D$101,C52,competitors!$H$2:$H$101,D52,competitors!$I$2:$I$101,E52,competitors!$L$2:$L$101,F52,competitors!$E$2:$E$101,"한국"))</f>
        <v>1</v>
      </c>
      <c r="H52" s="10">
        <f>IF(B52="","",COUNTIFS(competitors!$C$2:$C$101,B52,competitors!$D$2:$D$101,C52,competitors!$H$2:$H$101,D52,competitors!$I$2:$I$101,E52,competitors!$L$2:$L$101,F52))</f>
        <v>2</v>
      </c>
      <c r="I52" s="10" t="str">
        <f t="shared" si="2"/>
        <v>적음</v>
      </c>
      <c r="J52" s="10" t="str">
        <f t="array" ref="J52">IF(B52="","",TEXTJOIN(", ",TRUE(),IF((competitors!$C$2:$C$101=B52)*(competitors!$D$2:$D$101=C52)*(competitors!$H$2:$H$101=D52)*(competitors!$I$2:$I$101=E52)*(competitors!$L$2:$L$101=F52),competitors!$B$2:$B$101,"")))</f>
        <v>Nightly(미라클나잇), Headspace</v>
      </c>
      <c r="K52" s="14"/>
      <c r="L52" s="16">
        <f t="shared" si="3"/>
        <v>46248</v>
      </c>
    </row>
    <row r="53" ht="15.75" customHeight="1">
      <c r="A53" s="8" t="str">
        <f t="shared" si="1"/>
        <v>BM052</v>
      </c>
      <c r="B53" s="10" t="str">
        <f t="array" ref="B53">IFERROR(INDEX(competitors!$C$2:$C$101,MATCH(52,competitors!$R$2:$R$101,0)),"")</f>
        <v>수면</v>
      </c>
      <c r="C53" s="10" t="str">
        <f t="array" ref="C53">IFERROR(INDEX(competitors!$D$2:$D$101,MATCH(52,competitors!$R$2:$R$101,0)),"")</f>
        <v>정보제공</v>
      </c>
      <c r="D53" s="10" t="str">
        <f t="array" ref="D53">IFERROR(INDEX(competitors!$H$2:$H$101,MATCH(52,competitors!$R$2:$R$101,0)),"")</f>
        <v>전연령</v>
      </c>
      <c r="E53" s="10" t="str">
        <f t="array" ref="E53">IFERROR(INDEX(competitors!$I$2:$I$101,MATCH(52,competitors!$R$2:$R$101,0)),"")</f>
        <v>앱단독</v>
      </c>
      <c r="F53" s="10" t="str">
        <f t="array" ref="F53">IFERROR(INDEX(competitors!$L$2:$L$101,MATCH(52,competitors!$R$2:$R$101,0)),"")</f>
        <v>Freemium(프리미엄)</v>
      </c>
      <c r="G53" s="10">
        <f>IF(B53="","",COUNTIFS(competitors!$C$2:$C$101,B53,competitors!$D$2:$D$101,C53,competitors!$H$2:$H$101,D53,competitors!$I$2:$I$101,E53,competitors!$L$2:$L$101,F53,competitors!$E$2:$E$101,"한국"))</f>
        <v>1</v>
      </c>
      <c r="H53" s="10">
        <f>IF(B53="","",COUNTIFS(competitors!$C$2:$C$101,B53,competitors!$D$2:$D$101,C53,competitors!$H$2:$H$101,D53,competitors!$I$2:$I$101,E53,competitors!$L$2:$L$101,F53))</f>
        <v>1</v>
      </c>
      <c r="I53" s="10" t="str">
        <f t="shared" si="2"/>
        <v>적음</v>
      </c>
      <c r="J53" s="10" t="str">
        <f t="array" ref="J53">IF(B53="","",TEXTJOIN(", ",TRUE(),IF((competitors!$C$2:$C$101=B53)*(competitors!$D$2:$D$101=C53)*(competitors!$H$2:$H$101=D53)*(competitors!$I$2:$I$101=E53)*(competitors!$L$2:$L$101=F53),competitors!$B$2:$B$101,"")))</f>
        <v>알라미</v>
      </c>
      <c r="K53" s="14"/>
      <c r="L53" s="16">
        <f t="shared" si="3"/>
        <v>46248</v>
      </c>
    </row>
    <row r="54" ht="15.75" customHeight="1">
      <c r="A54" s="8" t="str">
        <f t="shared" si="1"/>
        <v>BM053</v>
      </c>
      <c r="B54" s="10" t="str">
        <f t="array" ref="B54">IFERROR(INDEX(competitors!$C$2:$C$101,MATCH(53,competitors!$R$2:$R$101,0)),"")</f>
        <v>수면</v>
      </c>
      <c r="C54" s="10" t="str">
        <f t="array" ref="C54">IFERROR(INDEX(competitors!$D$2:$D$101,MATCH(53,competitors!$R$2:$R$101,0)),"")</f>
        <v>데이터기록관리</v>
      </c>
      <c r="D54" s="10" t="str">
        <f t="array" ref="D54">IFERROR(INDEX(competitors!$H$2:$H$101,MATCH(53,competitors!$R$2:$R$101,0)),"")</f>
        <v>B2B파트너, 개인</v>
      </c>
      <c r="E54" s="10" t="str">
        <f t="array" ref="E54">IFERROR(INDEX(competitors!$I$2:$I$101,MATCH(53,competitors!$R$2:$R$101,0)),"")</f>
        <v>기기연동</v>
      </c>
      <c r="F54" s="10" t="str">
        <f t="array" ref="F54">IFERROR(INDEX(competitors!$L$2:$L$101,MATCH(53,competitors!$R$2:$R$101,0)),"")</f>
        <v>Sensor As A Service(센서서비스)</v>
      </c>
      <c r="G54" s="10">
        <f>IF(B54="","",COUNTIFS(competitors!$C$2:$C$101,B54,competitors!$D$2:$D$101,C54,competitors!$H$2:$H$101,D54,competitors!$I$2:$I$101,E54,competitors!$L$2:$L$101,F54,competitors!$E$2:$E$101,"한국"))</f>
        <v>1</v>
      </c>
      <c r="H54" s="10">
        <f>IF(B54="","",COUNTIFS(competitors!$C$2:$C$101,B54,competitors!$D$2:$D$101,C54,competitors!$H$2:$H$101,D54,competitors!$I$2:$I$101,E54,competitors!$L$2:$L$101,F54))</f>
        <v>1</v>
      </c>
      <c r="I54" s="10" t="str">
        <f t="shared" si="2"/>
        <v>적음</v>
      </c>
      <c r="J54" s="10" t="str">
        <f t="array" ref="J54">IF(B54="","",TEXTJOIN(", ",TRUE(),IF((competitors!$C$2:$C$101=B54)*(competitors!$D$2:$D$101=C54)*(competitors!$H$2:$H$101=D54)*(competitors!$I$2:$I$101=E54)*(competitors!$L$2:$L$101=F54),competitors!$B$2:$B$101,"")))</f>
        <v>에이슬립</v>
      </c>
      <c r="K54" s="14"/>
      <c r="L54" s="16">
        <f t="shared" si="3"/>
        <v>46248</v>
      </c>
    </row>
    <row r="55" ht="15.75" customHeight="1">
      <c r="A55" s="8" t="str">
        <f t="shared" si="1"/>
        <v>BM054</v>
      </c>
      <c r="B55" s="10" t="str">
        <f t="array" ref="B55">IFERROR(INDEX(competitors!$C$2:$C$101,MATCH(54,competitors!$R$2:$R$101,0)),"")</f>
        <v>수면</v>
      </c>
      <c r="C55" s="10" t="str">
        <f t="array" ref="C55">IFERROR(INDEX(competitors!$D$2:$D$101,MATCH(54,competitors!$R$2:$R$101,0)),"")</f>
        <v>정보제공</v>
      </c>
      <c r="D55" s="10" t="str">
        <f t="array" ref="D55">IFERROR(INDEX(competitors!$H$2:$H$101,MATCH(54,competitors!$R$2:$R$101,0)),"")</f>
        <v>불규칙수면자, 건강관심층</v>
      </c>
      <c r="E55" s="10" t="str">
        <f t="array" ref="E55">IFERROR(INDEX(competitors!$I$2:$I$101,MATCH(54,competitors!$R$2:$R$101,0)),"")</f>
        <v>앱단독</v>
      </c>
      <c r="F55" s="10" t="str">
        <f t="array" ref="F55">IFERROR(INDEX(competitors!$L$2:$L$101,MATCH(54,competitors!$R$2:$R$101,0)),"")</f>
        <v>Freemium(프리미엄)</v>
      </c>
      <c r="G55" s="10">
        <f>IF(B55="","",COUNTIFS(competitors!$C$2:$C$101,B55,competitors!$D$2:$D$101,C55,competitors!$H$2:$H$101,D55,competitors!$I$2:$I$101,E55,competitors!$L$2:$L$101,F55,competitors!$E$2:$E$101,"한국"))</f>
        <v>1</v>
      </c>
      <c r="H55" s="10">
        <f>IF(B55="","",COUNTIFS(competitors!$C$2:$C$101,B55,competitors!$D$2:$D$101,C55,competitors!$H$2:$H$101,D55,competitors!$I$2:$I$101,E55,competitors!$L$2:$L$101,F55))</f>
        <v>1</v>
      </c>
      <c r="I55" s="10" t="str">
        <f t="shared" si="2"/>
        <v>적음</v>
      </c>
      <c r="J55" s="10" t="str">
        <f t="array" ref="J55">IF(B55="","",TEXTJOIN(", ",TRUE(),IF((competitors!$C$2:$C$101=B55)*(competitors!$D$2:$D$101=C55)*(competitors!$H$2:$H$101=D55)*(competitors!$I$2:$I$101=E55)*(competitors!$L$2:$L$101=F55),competitors!$B$2:$B$101,"")))</f>
        <v>RESTDAWN</v>
      </c>
      <c r="K55" s="14"/>
      <c r="L55" s="16">
        <f t="shared" si="3"/>
        <v>46248</v>
      </c>
    </row>
    <row r="56" ht="15.75" customHeight="1">
      <c r="A56" s="8" t="str">
        <f t="shared" si="1"/>
        <v>BM055</v>
      </c>
      <c r="B56" s="10" t="str">
        <f t="array" ref="B56">IFERROR(INDEX(competitors!$C$2:$C$101,MATCH(55,competitors!$R$2:$R$101,0)),"")</f>
        <v>수면</v>
      </c>
      <c r="C56" s="10" t="str">
        <f t="array" ref="C56">IFERROR(INDEX(competitors!$D$2:$D$101,MATCH(55,competitors!$R$2:$R$101,0)),"")</f>
        <v>데이터기록관리</v>
      </c>
      <c r="D56" s="10" t="str">
        <f t="array" ref="D56">IFERROR(INDEX(competitors!$H$2:$H$101,MATCH(55,competitors!$R$2:$R$101,0)),"")</f>
        <v>개인</v>
      </c>
      <c r="E56" s="10" t="str">
        <f t="array" ref="E56">IFERROR(INDEX(competitors!$I$2:$I$101,MATCH(55,competitors!$R$2:$R$101,0)),"")</f>
        <v>웨어러블연동</v>
      </c>
      <c r="F56" s="10" t="str">
        <f t="array" ref="F56">IFERROR(INDEX(competitors!$L$2:$L$101,MATCH(55,competitors!$R$2:$R$101,0)),"")</f>
        <v>Lock-in(락인)</v>
      </c>
      <c r="G56" s="10">
        <f>IF(B56="","",COUNTIFS(competitors!$C$2:$C$101,B56,competitors!$D$2:$D$101,C56,competitors!$H$2:$H$101,D56,competitors!$I$2:$I$101,E56,competitors!$L$2:$L$101,F56,competitors!$E$2:$E$101,"한국"))</f>
        <v>1</v>
      </c>
      <c r="H56" s="10">
        <f>IF(B56="","",COUNTIFS(competitors!$C$2:$C$101,B56,competitors!$D$2:$D$101,C56,competitors!$H$2:$H$101,D56,competitors!$I$2:$I$101,E56,competitors!$L$2:$L$101,F56))</f>
        <v>1</v>
      </c>
      <c r="I56" s="10" t="str">
        <f t="shared" si="2"/>
        <v>적음</v>
      </c>
      <c r="J56" s="10" t="str">
        <f t="array" ref="J56">IF(B56="","",TEXTJOIN(", ",TRUE(),IF((competitors!$C$2:$C$101=B56)*(competitors!$D$2:$D$101=C56)*(competitors!$H$2:$H$101=D56)*(competitors!$I$2:$I$101=E56)*(competitors!$L$2:$L$101=F56),competitors!$B$2:$B$101,"")))</f>
        <v>삼성헬스</v>
      </c>
      <c r="K56" s="14"/>
      <c r="L56" s="16">
        <f t="shared" si="3"/>
        <v>46248</v>
      </c>
    </row>
    <row r="57" ht="15.75" customHeight="1">
      <c r="A57" s="8" t="str">
        <f t="shared" si="1"/>
        <v>BM056</v>
      </c>
      <c r="B57" s="10" t="str">
        <f t="array" ref="B57">IFERROR(INDEX(competitors!$C$2:$C$101,MATCH(56,competitors!$R$2:$R$101,0)),"")</f>
        <v>수면</v>
      </c>
      <c r="C57" s="10" t="str">
        <f t="array" ref="C57">IFERROR(INDEX(competitors!$D$2:$D$101,MATCH(56,competitors!$R$2:$R$101,0)),"")</f>
        <v>데이터기록관리</v>
      </c>
      <c r="D57" s="10" t="str">
        <f t="array" ref="D57">IFERROR(INDEX(competitors!$H$2:$H$101,MATCH(56,competitors!$R$2:$R$101,0)),"")</f>
        <v>보험연계 건강관리대상자</v>
      </c>
      <c r="E57" s="10" t="str">
        <f t="array" ref="E57">IFERROR(INDEX(competitors!$I$2:$I$101,MATCH(56,competitors!$R$2:$R$101,0)),"")</f>
        <v>웨어러블연동</v>
      </c>
      <c r="F57" s="10" t="str">
        <f t="array" ref="F57">IFERROR(INDEX(competitors!$L$2:$L$101,MATCH(56,competitors!$R$2:$R$101,0)),"")</f>
        <v>Lock-in(락인)</v>
      </c>
      <c r="G57" s="10">
        <f>IF(B57="","",COUNTIFS(competitors!$C$2:$C$101,B57,competitors!$D$2:$D$101,C57,competitors!$H$2:$H$101,D57,competitors!$I$2:$I$101,E57,competitors!$L$2:$L$101,F57,competitors!$E$2:$E$101,"한국"))</f>
        <v>1</v>
      </c>
      <c r="H57" s="10">
        <f>IF(B57="","",COUNTIFS(competitors!$C$2:$C$101,B57,competitors!$D$2:$D$101,C57,competitors!$H$2:$H$101,D57,competitors!$I$2:$I$101,E57,competitors!$L$2:$L$101,F57))</f>
        <v>1</v>
      </c>
      <c r="I57" s="10" t="str">
        <f t="shared" si="2"/>
        <v>적음</v>
      </c>
      <c r="J57" s="10" t="str">
        <f t="array" ref="J57">IF(B57="","",TEXTJOIN(", ",TRUE(),IF((competitors!$C$2:$C$101=B57)*(competitors!$D$2:$D$101=C57)*(competitors!$H$2:$H$101=D57)*(competitors!$I$2:$I$101=E57)*(competitors!$L$2:$L$101=F57),competitors!$B$2:$B$101,"")))</f>
        <v>더헬스(The Health)</v>
      </c>
      <c r="K57" s="14"/>
      <c r="L57" s="16">
        <f t="shared" si="3"/>
        <v>46248</v>
      </c>
    </row>
    <row r="58" ht="15.75" customHeight="1">
      <c r="A58" s="8" t="str">
        <f t="shared" si="1"/>
        <v>BM057</v>
      </c>
      <c r="B58" s="10" t="str">
        <f t="array" ref="B58">IFERROR(INDEX(competitors!$C$2:$C$101,MATCH(57,competitors!$R$2:$R$101,0)),"")</f>
        <v>수면</v>
      </c>
      <c r="C58" s="10" t="str">
        <f t="array" ref="C58">IFERROR(INDEX(competitors!$D$2:$D$101,MATCH(57,competitors!$R$2:$R$101,0)),"")</f>
        <v>정보제공</v>
      </c>
      <c r="D58" s="10" t="str">
        <f t="array" ref="D58">IFERROR(INDEX(competitors!$H$2:$H$101,MATCH(57,competitors!$R$2:$R$101,0)),"")</f>
        <v>피로회복희망자</v>
      </c>
      <c r="E58" s="10" t="str">
        <f t="array" ref="E58">IFERROR(INDEX(competitors!$I$2:$I$101,MATCH(57,competitors!$R$2:$R$101,0)),"")</f>
        <v>앱단독</v>
      </c>
      <c r="F58" s="10" t="str">
        <f t="array" ref="F58">IFERROR(INDEX(competitors!$L$2:$L$101,MATCH(57,competitors!$R$2:$R$101,0)),"")</f>
        <v>Freemium(프리미엄)</v>
      </c>
      <c r="G58" s="10">
        <f>IF(B58="","",COUNTIFS(competitors!$C$2:$C$101,B58,competitors!$D$2:$D$101,C58,competitors!$H$2:$H$101,D58,competitors!$I$2:$I$101,E58,competitors!$L$2:$L$101,F58,competitors!$E$2:$E$101,"한국"))</f>
        <v>1</v>
      </c>
      <c r="H58" s="10">
        <f>IF(B58="","",COUNTIFS(competitors!$C$2:$C$101,B58,competitors!$D$2:$D$101,C58,competitors!$H$2:$H$101,D58,competitors!$I$2:$I$101,E58,competitors!$L$2:$L$101,F58))</f>
        <v>1</v>
      </c>
      <c r="I58" s="10" t="str">
        <f t="shared" si="2"/>
        <v>적음</v>
      </c>
      <c r="J58" s="10" t="str">
        <f t="array" ref="J58">IF(B58="","",TEXTJOIN(", ",TRUE(),IF((competitors!$C$2:$C$101=B58)*(competitors!$D$2:$D$101=C58)*(competitors!$H$2:$H$101=D58)*(competitors!$I$2:$I$101=E58)*(competitors!$L$2:$L$101=F58),competitors!$B$2:$B$101,"")))</f>
        <v>솜니아</v>
      </c>
      <c r="K58" s="14"/>
      <c r="L58" s="16">
        <f t="shared" si="3"/>
        <v>46248</v>
      </c>
    </row>
    <row r="59" ht="15.75" customHeight="1">
      <c r="A59" s="8" t="str">
        <f t="shared" si="1"/>
        <v>BM058</v>
      </c>
      <c r="B59" s="10" t="str">
        <f t="array" ref="B59">IFERROR(INDEX(competitors!$C$2:$C$101,MATCH(58,competitors!$R$2:$R$101,0)),"")</f>
        <v>수면</v>
      </c>
      <c r="C59" s="10" t="str">
        <f t="array" ref="C59">IFERROR(INDEX(competitors!$D$2:$D$101,MATCH(58,competitors!$R$2:$R$101,0)),"")</f>
        <v>정보제공</v>
      </c>
      <c r="D59" s="10" t="str">
        <f t="array" ref="D59">IFERROR(INDEX(competitors!$H$2:$H$101,MATCH(58,competitors!$R$2:$R$101,0)),"")</f>
        <v>명상,ASMR선호자</v>
      </c>
      <c r="E59" s="10" t="str">
        <f t="array" ref="E59">IFERROR(INDEX(competitors!$I$2:$I$101,MATCH(58,competitors!$R$2:$R$101,0)),"")</f>
        <v>앱단독</v>
      </c>
      <c r="F59" s="10" t="str">
        <f t="array" ref="F59">IFERROR(INDEX(competitors!$L$2:$L$101,MATCH(58,competitors!$R$2:$R$101,0)),"")</f>
        <v>Subscription(구독형)</v>
      </c>
      <c r="G59" s="10">
        <f>IF(B59="","",COUNTIFS(competitors!$C$2:$C$101,B59,competitors!$D$2:$D$101,C59,competitors!$H$2:$H$101,D59,competitors!$I$2:$I$101,E59,competitors!$L$2:$L$101,F59,competitors!$E$2:$E$101,"한국"))</f>
        <v>1</v>
      </c>
      <c r="H59" s="10">
        <f>IF(B59="","",COUNTIFS(competitors!$C$2:$C$101,B59,competitors!$D$2:$D$101,C59,competitors!$H$2:$H$101,D59,competitors!$I$2:$I$101,E59,competitors!$L$2:$L$101,F59))</f>
        <v>1</v>
      </c>
      <c r="I59" s="10" t="str">
        <f t="shared" si="2"/>
        <v>적음</v>
      </c>
      <c r="J59" s="10" t="str">
        <f t="array" ref="J59">IF(B59="","",TEXTJOIN(", ",TRUE(),IF((competitors!$C$2:$C$101=B59)*(competitors!$D$2:$D$101=C59)*(competitors!$H$2:$H$101=D59)*(competitors!$I$2:$I$101=E59)*(competitors!$L$2:$L$101=F59),competitors!$B$2:$B$101,"")))</f>
        <v>코끼리</v>
      </c>
      <c r="K59" s="14"/>
      <c r="L59" s="16">
        <f t="shared" si="3"/>
        <v>46248</v>
      </c>
    </row>
    <row r="60" ht="15.75" customHeight="1">
      <c r="A60" s="8" t="str">
        <f t="shared" si="1"/>
        <v>BM059</v>
      </c>
      <c r="B60" s="10" t="str">
        <f t="array" ref="B60">IFERROR(INDEX(competitors!$C$2:$C$101,MATCH(59,competitors!$R$2:$R$101,0)),"")</f>
        <v>수면</v>
      </c>
      <c r="C60" s="10" t="str">
        <f t="array" ref="C60">IFERROR(INDEX(competitors!$D$2:$D$101,MATCH(59,competitors!$R$2:$R$101,0)),"")</f>
        <v>데이터기록관리</v>
      </c>
      <c r="D60" s="10" t="str">
        <f t="array" ref="D60">IFERROR(INDEX(competitors!$H$2:$H$101,MATCH(59,competitors!$R$2:$R$101,0)),"")</f>
        <v>개인</v>
      </c>
      <c r="E60" s="10" t="str">
        <f t="array" ref="E60">IFERROR(INDEX(competitors!$I$2:$I$101,MATCH(59,competitors!$R$2:$R$101,0)),"")</f>
        <v>앱단독</v>
      </c>
      <c r="F60" s="10" t="str">
        <f t="array" ref="F60">IFERROR(INDEX(competitors!$L$2:$L$101,MATCH(59,competitors!$R$2:$R$101,0)),"")</f>
        <v>Subscription(구독형)</v>
      </c>
      <c r="G60" s="10">
        <f>IF(B60="","",COUNTIFS(competitors!$C$2:$C$101,B60,competitors!$D$2:$D$101,C60,competitors!$H$2:$H$101,D60,competitors!$I$2:$I$101,E60,competitors!$L$2:$L$101,F60,competitors!$E$2:$E$101,"한국"))</f>
        <v>1</v>
      </c>
      <c r="H60" s="10">
        <f>IF(B60="","",COUNTIFS(competitors!$C$2:$C$101,B60,competitors!$D$2:$D$101,C60,competitors!$H$2:$H$101,D60,competitors!$I$2:$I$101,E60,competitors!$L$2:$L$101,F60))</f>
        <v>1</v>
      </c>
      <c r="I60" s="10" t="str">
        <f t="shared" si="2"/>
        <v>적음</v>
      </c>
      <c r="J60" s="10" t="str">
        <f t="array" ref="J60">IF(B60="","",TEXTJOIN(", ",TRUE(),IF((competitors!$C$2:$C$101=B60)*(competitors!$D$2:$D$101=C60)*(competitors!$H$2:$H$101=D60)*(competitors!$I$2:$I$101=E60)*(competitors!$L$2:$L$101=F60),competitors!$B$2:$B$101,"")))</f>
        <v>슬립루틴</v>
      </c>
      <c r="K60" s="14"/>
      <c r="L60" s="16">
        <f t="shared" si="3"/>
        <v>46248</v>
      </c>
    </row>
    <row r="61" ht="15.75" customHeight="1">
      <c r="A61" s="8" t="str">
        <f t="shared" si="1"/>
        <v>BM060</v>
      </c>
      <c r="B61" s="10" t="str">
        <f t="array" ref="B61">IFERROR(INDEX(competitors!$C$2:$C$101,MATCH(60,competitors!$R$2:$R$101,0)),"")</f>
        <v>수면</v>
      </c>
      <c r="C61" s="10" t="str">
        <f t="array" ref="C61">IFERROR(INDEX(competitors!$D$2:$D$101,MATCH(60,competitors!$R$2:$R$101,0)),"")</f>
        <v>데이터기록관리</v>
      </c>
      <c r="D61" s="10" t="str">
        <f t="array" ref="D61">IFERROR(INDEX(competitors!$H$2:$H$101,MATCH(60,competitors!$R$2:$R$101,0)),"")</f>
        <v>코골이기록희망자, 건강관심층</v>
      </c>
      <c r="E61" s="10" t="str">
        <f t="array" ref="E61">IFERROR(INDEX(competitors!$I$2:$I$101,MATCH(60,competitors!$R$2:$R$101,0)),"")</f>
        <v>앱단독</v>
      </c>
      <c r="F61" s="10" t="str">
        <f t="array" ref="F61">IFERROR(INDEX(competitors!$L$2:$L$101,MATCH(60,competitors!$R$2:$R$101,0)),"")</f>
        <v>Freemium(프리미엄)</v>
      </c>
      <c r="G61" s="10">
        <f>IF(B61="","",COUNTIFS(competitors!$C$2:$C$101,B61,competitors!$D$2:$D$101,C61,competitors!$H$2:$H$101,D61,competitors!$I$2:$I$101,E61,competitors!$L$2:$L$101,F61,competitors!$E$2:$E$101,"한국"))</f>
        <v>1</v>
      </c>
      <c r="H61" s="10">
        <f>IF(B61="","",COUNTIFS(competitors!$C$2:$C$101,B61,competitors!$D$2:$D$101,C61,competitors!$H$2:$H$101,D61,competitors!$I$2:$I$101,E61,competitors!$L$2:$L$101,F61))</f>
        <v>1</v>
      </c>
      <c r="I61" s="10" t="str">
        <f t="shared" si="2"/>
        <v>적음</v>
      </c>
      <c r="J61" s="10" t="str">
        <f t="array" ref="J61">IF(B61="","",TEXTJOIN(", ",TRUE(),IF((competitors!$C$2:$C$101=B61)*(competitors!$D$2:$D$101=C61)*(competitors!$H$2:$H$101=D61)*(competitors!$I$2:$I$101=E61)*(competitors!$L$2:$L$101=F61),competitors!$B$2:$B$101,"")))</f>
        <v>수면분석 - 수면, 오토슬립, 코골이</v>
      </c>
      <c r="K61" s="14"/>
      <c r="L61" s="16">
        <f t="shared" si="3"/>
        <v>46248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
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안내" sheetId="1" state="visible" r:id="rId1"/>
    <sheet xmlns:r="http://schemas.openxmlformats.org/officeDocument/2006/relationships" name="competitors" sheetId="2" state="visible" r:id="rId2"/>
    <sheet xmlns:r="http://schemas.openxmlformats.org/officeDocument/2006/relationships" name="bm_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₩&quot;#,##0"/>
    <numFmt numFmtId="166" formatCode="yyyy\-mm\-dd"/>
  </numFmts>
  <fonts count="17">
    <font>
      <name val="Calibri"/>
      <color theme="1"/>
      <sz val="11"/>
      <scheme val="minor"/>
    </font>
    <font>
      <name val="Arial"/>
      <b val="1"/>
      <color theme="1"/>
      <sz val="14"/>
    </font>
    <font>
      <name val="Noto Sans"/>
      <color theme="1"/>
      <sz val="10"/>
    </font>
    <font>
      <name val="Arial"/>
      <b val="1"/>
      <color theme="1"/>
      <sz val="12"/>
    </font>
    <font>
      <name val="Arial"/>
      <color theme="1"/>
      <sz val="10"/>
    </font>
    <font>
      <name val="Arial"/>
      <b val="1"/>
      <color rgb="FFFFFFFF"/>
      <sz val="11"/>
    </font>
    <font>
      <name val="Arial"/>
      <i val="1"/>
      <color rgb="FF7F7F7F"/>
      <sz val="11"/>
    </font>
    <font>
      <name val="Noto Sans"/>
      <i val="1"/>
      <color rgb="FF7F7F7F"/>
      <sz val="11"/>
    </font>
    <font>
      <name val="Noto Sans"/>
      <color rgb="FF808080"/>
      <sz val="9"/>
    </font>
    <font>
      <name val="Arial"/>
      <color rgb="FF000000"/>
      <sz val="11"/>
    </font>
    <font>
      <name val="Calibri"/>
      <color theme="1"/>
      <sz val="11"/>
    </font>
    <font>
      <name val="&quot;Noto Sans CJK SC&quot;"/>
      <color rgb="FF000000"/>
      <sz val="11"/>
    </font>
    <font>
      <name val="Calibri"/>
      <color rgb="FF000000"/>
      <sz val="11"/>
    </font>
    <font>
      <name val="&quot;맑은 고딕&quot;"/>
      <color rgb="FF000000"/>
      <sz val="11"/>
    </font>
    <font>
      <name val="Calibri"/>
      <color theme="1"/>
      <scheme val="minor"/>
    </font>
    <font>
      <name val="&quot;\0022Noto Sans CJK SC\0022&quot;"/>
      <color rgb="FF000000"/>
      <sz val="11"/>
    </font>
    <font>
      <name val="Roboto"/>
      <color rgb="FF5F6368"/>
      <sz val="11"/>
    </font>
  </fonts>
  <fills count="8">
    <fill>
      <patternFill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bottom"/>
    </xf>
    <xf numFmtId="0" fontId="7" fillId="3" borderId="1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9" fillId="0" borderId="1" applyAlignment="1" pivotButton="0" quotePrefix="0" xfId="0">
      <alignment vertical="bottom"/>
    </xf>
    <xf numFmtId="0" fontId="10" fillId="4" borderId="1" applyAlignment="1" pivotButton="0" quotePrefix="0" xfId="0">
      <alignment vertical="bottom"/>
    </xf>
    <xf numFmtId="164" fontId="10" fillId="4" borderId="1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11" fillId="4" borderId="1" applyAlignment="1" pivotButton="0" quotePrefix="0" xfId="0">
      <alignment vertical="bottom"/>
    </xf>
    <xf numFmtId="0" fontId="9" fillId="4" borderId="1" applyAlignment="1" pivotButton="0" quotePrefix="0" xfId="0">
      <alignment vertical="bottom"/>
    </xf>
    <xf numFmtId="0" fontId="12" fillId="4" borderId="1" applyAlignment="1" pivotButton="0" quotePrefix="0" xfId="0">
      <alignment vertical="bottom"/>
    </xf>
    <xf numFmtId="164" fontId="12" fillId="4" borderId="1" applyAlignment="1" pivotButton="0" quotePrefix="0" xfId="0">
      <alignment vertical="bottom"/>
    </xf>
    <xf numFmtId="0" fontId="13" fillId="4" borderId="1" applyAlignment="1" pivotButton="0" quotePrefix="0" xfId="0">
      <alignment vertical="bottom"/>
    </xf>
    <xf numFmtId="0" fontId="9" fillId="0" borderId="1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14" fillId="0" borderId="0" pivotButton="0" quotePrefix="0" xfId="0"/>
    <xf numFmtId="0" fontId="10" fillId="4" borderId="1" applyAlignment="1" pivotButton="0" quotePrefix="0" xfId="0">
      <alignment vertical="bottom"/>
    </xf>
    <xf numFmtId="164" fontId="14" fillId="0" borderId="0" pivotButton="0" quotePrefix="0" xfId="0"/>
    <xf numFmtId="0" fontId="14" fillId="0" borderId="0" pivotButton="0" quotePrefix="0" xfId="0"/>
    <xf numFmtId="0" fontId="10" fillId="0" borderId="0" applyAlignment="1" pivotButton="0" quotePrefix="0" xfId="0">
      <alignment vertical="bottom"/>
    </xf>
    <xf numFmtId="0" fontId="9" fillId="0" borderId="1" applyAlignment="1" pivotButton="0" quotePrefix="0" xfId="0">
      <alignment vertical="bottom"/>
    </xf>
    <xf numFmtId="164" fontId="12" fillId="4" borderId="1" applyAlignment="1" pivotButton="0" quotePrefix="0" xfId="0">
      <alignment horizontal="right" vertical="bottom"/>
    </xf>
    <xf numFmtId="0" fontId="15" fillId="0" borderId="0" applyAlignment="1" pivotButton="0" quotePrefix="0" xfId="0">
      <alignment vertical="bottom"/>
    </xf>
    <xf numFmtId="0" fontId="12" fillId="4" borderId="1" applyAlignment="1" pivotButton="0" quotePrefix="1" xfId="0">
      <alignment vertical="bottom"/>
    </xf>
    <xf numFmtId="0" fontId="14" fillId="5" borderId="0" pivotButton="0" quotePrefix="0" xfId="0"/>
    <xf numFmtId="0" fontId="10" fillId="5" borderId="1" applyAlignment="1" pivotButton="0" quotePrefix="0" xfId="0">
      <alignment vertical="bottom"/>
    </xf>
    <xf numFmtId="164" fontId="14" fillId="5" borderId="0" pivotButton="0" quotePrefix="0" xfId="0"/>
    <xf numFmtId="0" fontId="14" fillId="5" borderId="0" pivotButton="0" quotePrefix="0" xfId="0"/>
    <xf numFmtId="165" fontId="16" fillId="5" borderId="0" pivotButton="0" quotePrefix="0" xfId="0"/>
    <xf numFmtId="0" fontId="14" fillId="0" borderId="0" pivotButton="0" quotePrefix="0" xfId="0"/>
    <xf numFmtId="0" fontId="14" fillId="0" borderId="0" pivotButton="0" quotePrefix="1" xfId="0"/>
    <xf numFmtId="0" fontId="9" fillId="0" borderId="0" applyAlignment="1" pivotButton="0" quotePrefix="0" xfId="0">
      <alignment vertical="bottom"/>
    </xf>
    <xf numFmtId="166" fontId="9" fillId="0" borderId="1" applyAlignment="1" pivotButton="0" quotePrefix="0" xfId="0">
      <alignment vertical="bottom"/>
    </xf>
    <xf numFmtId="0" fontId="0" fillId="0" borderId="0" pivotButton="0" quotePrefix="0" xfId="0"/>
    <xf numFmtId="0" fontId="14" fillId="7" borderId="0" pivotButton="0" quotePrefix="0" xfId="0"/>
    <xf numFmtId="0" fontId="14" fillId="6" borderId="0" pivotButton="0" quotePrefix="0" xfId="0"/>
    <xf numFmtId="0" fontId="0" fillId="6" borderId="0" pivotButton="0" quotePrefix="0" xfId="0"/>
    <xf numFmtId="0" fontId="10" fillId="6" borderId="1" applyAlignment="1" pivotButton="0" quotePrefix="0" xfId="0">
      <alignment vertical="bottom"/>
    </xf>
    <xf numFmtId="0" fontId="12" fillId="7" borderId="1" applyAlignment="1" pivotButton="0" quotePrefix="1" xfId="0">
      <alignment vertical="bottom"/>
    </xf>
    <xf numFmtId="165" fontId="16" fillId="7" borderId="0" pivotButton="0" quotePrefix="0" xfId="0"/>
    <xf numFmtId="0" fontId="9" fillId="6" borderId="1" applyAlignment="1" pivotButton="0" quotePrefix="0" xfId="0">
      <alignment vertical="bottom"/>
    </xf>
    <xf numFmtId="0" fontId="14" fillId="6" borderId="0" pivotButton="0" quotePrefix="1" xfId="0"/>
    <xf numFmtId="164" fontId="14" fillId="6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PREP</author>
  </authors>
  <commentList>
    <comment ref="K109" authorId="0" shapeId="0">
      <text>
        <t>확인 필요: 끝이 잘림: '개인 맞춤 추' → '개인 맞춤 추천'?</t>
      </text>
    </comment>
    <comment ref="A110" authorId="0" shapeId="0">
      <text>
        <t>제외: CP109 StressWatch — 대부분 항목이 비어 있어 제외(2026-10-24)</t>
      </text>
    </comment>
    <comment ref="M114" authorId="0" shapeId="0">
      <text>
        <t>확인 필요: 여는 따옴표 없음: "엄마들의 틴더'로…"</t>
      </text>
    </comment>
    <comment ref="T125" authorId="0" shapeId="0">
      <text>
        <t>확인 필요: 숫자 형식: '9900.0' → '9,900원'?</t>
      </text>
    </comment>
    <comment ref="M127" authorId="0" shapeId="0">
      <text>
        <t>확인 필요: 앞부분이 잘림: '원이 검토한 NCC…'</t>
      </text>
    </comment>
    <comment ref="T130" authorId="0" shapeId="0">
      <text>
        <t>확인 필요: 오타: '알수없' → '알 수 없음'?</t>
      </text>
    </comment>
    <comment ref="T131" authorId="0" shapeId="0">
      <text>
        <t>확인 필요: 구분 없음: '(한국 기준)월 $2.99' 사이 띄어쓰기·구분자 필요</t>
      </text>
    </comment>
    <comment ref="A149" authorId="0" shapeId="0">
      <text>
        <t>제외: CP148 닥터다이어리 — CP041과 같은 서비스·같은 카테고리라 중복 제외(2026-10-24)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showGridLines="0" workbookViewId="0">
      <selection activeCell="A1" sqref="A1"/>
    </sheetView>
  </sheetViews>
  <sheetFormatPr baseColWidth="8" defaultColWidth="14.43" defaultRowHeight="15" customHeight="1"/>
  <cols>
    <col width="100" customWidth="1" style="42" min="1" max="1"/>
    <col width="8.710000000000001" customWidth="1" style="42" min="2" max="26"/>
  </cols>
  <sheetData>
    <row r="1">
      <c r="A1" s="1" t="inlineStr">
        <is>
          <t>PREP 경쟁사 DB &amp; BM 매핑 수집 시트</t>
        </is>
      </c>
    </row>
    <row r="2">
      <c r="A2" s="6" t="inlineStr">
        <is>
          <t>작성 기준: db_구축_설계서.md V3.1 (2026-07-20) §3.5, §3.6, §6.3</t>
        </is>
      </c>
    </row>
    <row r="3">
      <c r="A3" s="6" t="n"/>
    </row>
    <row r="4">
      <c r="A4" s="3" t="inlineStr">
        <is>
          <t>[시트 구성]</t>
        </is>
      </c>
    </row>
    <row r="5">
      <c r="A5" s="5" t="inlineStr">
        <is>
          <t>① competitors — 경쟁사 직접 조사 데이터를 입력하는 시트. 노란색 셀만 채우면 됨.</t>
        </is>
      </c>
    </row>
    <row r="6">
      <c r="A6" s="5" t="inlineStr">
        <is>
          <t>② bm_mapping — competitors에 입력된 (category_1, category_2, target, service_type, bm_pattern) 고유 조합을 자동으로 찾아</t>
        </is>
      </c>
    </row>
    <row r="7">
      <c r="A7" s="5" t="inlineStr">
        <is>
          <t xml:space="preserve">   frequency_score/precedent_level/contributing_competitor_ids까지 전부 수식으로 채우는 시트. 이 시트에는 직접 입력할 셀이 없음.</t>
        </is>
      </c>
    </row>
    <row r="8">
      <c r="A8" s="5" t="inlineStr">
        <is>
          <t xml:space="preserve">   → competitors에 새 행을 추가하고 bm_pattern까지 채우면, bm_mapping에 새 조합이 자동으로 나타남.</t>
        </is>
      </c>
    </row>
    <row r="9">
      <c r="A9" s="6" t="n"/>
    </row>
    <row r="10">
      <c r="A10" s="3" t="inlineStr">
        <is>
          <t>[2026-07-20 변경] category(5종, 단일축) → category_1(질병축)+category_2(기능축) 2축으로 교체</t>
        </is>
      </c>
    </row>
    <row r="11">
      <c r="A11" s="5" t="inlineStr">
        <is>
          <t>- category_1(질병축, 8종): 수면 / 정신건강 / 운동 / 식단 / 만성질환 / 여성건강 / 유전자 / 미용</t>
        </is>
      </c>
    </row>
    <row r="12">
      <c r="A12" s="5" t="inlineStr">
        <is>
          <t>- category_2(기능축, 4종): 정보제공 / 데이터기록관리 / 매칭연결 / 개입치료</t>
        </is>
      </c>
    </row>
    <row r="13">
      <c r="A13" s="5" t="inlineStr">
        <is>
          <t>- data_type(라이프스타일/생체지표)은 그대로 유지 — GATE 규제 판단·경쟁포화도 유사도 계산 전용, category_1/2와는 별개 축</t>
        </is>
      </c>
    </row>
    <row r="14">
      <c r="A14" s="6" t="n"/>
    </row>
    <row r="15">
      <c r="A15" s="3" t="inlineStr">
        <is>
          <t>[자동 갱신이 안 될 때]</t>
        </is>
      </c>
    </row>
    <row r="16">
      <c r="A16" s="5" t="inlineStr">
        <is>
          <t>- 엑셀 상단 메뉴 수식 &gt; 계산 옵션이 '자동'인지 확인 (기본은 자동, 수동으로 바뀌어 있으면 F9로 강제 재계산)</t>
        </is>
      </c>
    </row>
    <row r="17">
      <c r="A17" s="5" t="inlineStr">
        <is>
          <t>- 이 파일은 열릴 때 자동으로 전체 재계산되도록 설정해뒀음(fullCalcOnLoad)</t>
        </is>
      </c>
    </row>
    <row r="18">
      <c r="A18" s="5" t="inlineStr">
        <is>
          <t>- competitors에서 category_1/category_2/target/service_type/bm_pattern 중 하나라도 비어있으면 그 행은 집계에서 제외됨</t>
        </is>
      </c>
    </row>
    <row r="19">
      <c r="A19" s="6" t="n"/>
    </row>
    <row r="20">
      <c r="A20" s="3" t="inlineStr">
        <is>
          <t>[competitors 입력 가이드]</t>
        </is>
      </c>
    </row>
    <row r="21" ht="15.75" customHeight="1" s="42">
      <c r="A21" s="5" t="inlineStr">
        <is>
          <t>- tier: 플랫폼 / 카테고리리더 / 일반경쟁자 (기준: 다운로드수·MAU·투자단계)</t>
        </is>
      </c>
    </row>
    <row r="22" ht="15.75" customHeight="1" s="42">
      <c r="A22" s="5" t="inlineStr">
        <is>
          <t>- data_type: 라이프스타일 / 생체지표 (gate_matrix.data_type과 통일, 1차 구축 범위 — 임상·진료 제외)</t>
        </is>
      </c>
    </row>
    <row r="23" ht="15.75" customHeight="1" s="42">
      <c r="A23" s="5" t="inlineStr">
        <is>
          <t>- core_tags/sub_tags: 쉼표(,)로 구분해 여러 태그 입력</t>
        </is>
      </c>
    </row>
    <row r="24" ht="15.75" customHeight="1" s="42">
      <c r="A24" s="5" t="inlineStr">
        <is>
          <t>- country: '한국' 정확히 입력해야 bm_mapping의 국내/해외 구분(frequency_score vs frequency_score_global)이 제대로 계산됨</t>
        </is>
      </c>
    </row>
    <row r="25" ht="15.75" customHeight="1" s="42">
      <c r="A25" s="5" t="inlineStr">
        <is>
          <t>- Q,R,S열(숨김)은 bm_mapping 자동집계용 내부 계산열 — 건드리지 않아도 됨</t>
        </is>
      </c>
    </row>
    <row r="26" ht="15.75" customHeight="1" s="42">
      <c r="A26" s="5" t="inlineStr">
        <is>
          <t>- 회색 음영 행(2~3행)은 형식 참고용 예시행 — 실제 데이터 입력 시 삭제하거나 덮어쓰기</t>
        </is>
      </c>
    </row>
    <row r="27" ht="15.75" customHeight="1" s="42">
      <c r="A27" s="6" t="n"/>
    </row>
    <row r="28" ht="15.75" customHeight="1" s="42">
      <c r="A28" s="3" t="inlineStr">
        <is>
          <t>[BM 패턴 후보 목록 — 12개, 팀 승인 대기 중]</t>
        </is>
      </c>
    </row>
    <row r="29" ht="15.75" customHeight="1" s="42">
      <c r="A29" s="6" t="inlineStr">
        <is>
          <t>출처: The Business Model Navigator (Gassmann·Frankenberger·Csik) / businessmodelnavigator.com/explore</t>
        </is>
      </c>
    </row>
    <row r="30" ht="15.75" customHeight="1" s="42">
      <c r="A30" s="5" t="inlineStr">
        <is>
          <t>Freemium, Subscription, Add-on, Lock-in, Two-sided Market, Pay Per Use, Sensor As A Service,</t>
        </is>
      </c>
    </row>
    <row r="31" ht="15.75" customHeight="1" s="42">
      <c r="A31" s="5" t="inlineStr">
        <is>
          <t>Leverage Customer Data, Digitization, Self-service, Performance-based Contracting, Razor And Blade</t>
        </is>
      </c>
    </row>
    <row r="32" ht="15.75" customHeight="1" s="42">
      <c r="A32" s="6" t="inlineStr">
        <is>
          <t>**기준**
**1. Freemium(프리미엄)** — 기본 버전을 무료로 제공해 최대한 많은 사용자를 모으고, 소수의 유료 프리미엄 고객 매출이 무료 사용자 운영비까지 교차보전한다. 기준: 무료 등급과 유료 등급이 "상시 공존"해야 함.
**2. Subscription(구독형)** — 고객이 월/연 단위로 정기 요금을 내고 접근권을 유지한다. 기준: 결제가 "반복·정기"적이어야 함. 1회성 결제는 해당 안 됨.
**3. Add-on(애드온)** — 기본 상품은 경쟁력 있게(저렴하게) 가격 책정하고, 다양한 추가옵션으로 최종 가격이 올라간다. 고객은 필요에 맞게 선택적으로 추가 구매한다. 기준: "저렴한 기본가 + 선택적 유료 확장" 구조.
**4. Lock-in(락인)** — 특정 생태계에 고객을 묶어 타사 전환 시 높은 전환비용이 발생하게 한다. 기준: 스위칭 코스트의 존재.
**5. Two-sided Market(양면시장)** — 서로 의존적인 두 집단을 매칭하는 플랫폼(예: 유저-제휴브랜드). 기준: 상호의존적인 두 그룹을 매칭하며 참여자가 늘수록 가치가 커짐.
**6. Pay Per Use(사용량과금)** — 실사용량을 계측해 사용한 만큼만 과금. 기준: 정액이 아닌 "실사용 기반" 과금.
**7. Sensor As A Service(센서서비스)** — 센서로 물리적 제품에 부가서비스를 얹거나 새 서비스를 만든다. 매출원은 센서 자체가 아니라 "센서 데이터의 분석"이다.
**8. Leverage Customer Data(데이터활용)** — 고객 데이터를 수집·가공해 내부 활용하거나 제3자에 판매(익명화 포함). 기준: 데이터(또는 데이터 기반 광고효율)가 매출원.
**9. Digitization(디지털전환)** — 아날로그 프로세스를 디지털 워크플로우로 전환하는 것 자체가 가치제안.
**10. Self-service(셀프서비스)** — 가치창출 과정의 일부를 고객에게 이전(고객이 직접 수행)하는 대가로 가격을 낮춘다. **기준: "결제 방식"이 아니라 "누가 프로세스를 수행하는가".** 부가가치는 낮은데 비용은 큰 프로세스 단계를 고객이 직접 처리(셀프계산대, 헬스장 무인출입, DIY 조립 등)하는 경우에만 해당.
**11. Performance-based Contracting(성과기반계약)** — 물리적 가치가 아니라 성과/산출물 단위로 과금(예: 롤스로이스 엔진 가동시간당 과금).
**12. Razor And Blade(레이저블레이드)** — 본체는 원가 수준으로 팔아 락인시키고, 호환 소모품에서 고마진을 낸다. 기준: "본체 저가 + 소모품 고마진"의 2단계 구조.</t>
        </is>
      </c>
    </row>
    <row r="33" ht="15.75" customHeight="1" s="42">
      <c r="A33" s="3" t="inlineStr">
        <is>
          <t>[bm_mapping precedent_level 임계값 — 국내 기준 자동 산출]</t>
        </is>
      </c>
    </row>
    <row r="34" ht="15.75" customHeight="1" s="42">
      <c r="A34" s="6" t="inlineStr">
        <is>
          <t>많음: 국내 frequency_score ≥5 | 중간: 3~4 | 적음: 1~2 | 가능: 국내 0+해외 존재 | 어려움: 국내외 모두 0</t>
        </is>
      </c>
    </row>
    <row r="35" ht="15.75" customHeight="1" s="42">
      <c r="A35" s="6" t="n"/>
    </row>
    <row r="36" ht="15.75" customHeight="1" s="42">
      <c r="A36" s="3" t="inlineStr">
        <is>
          <t>[주의]</t>
        </is>
      </c>
    </row>
    <row r="37" ht="15.75" customHeight="1" s="42">
      <c r="A37" s="5" t="inlineStr">
        <is>
          <t>- competitor_tier_score(플랫폼5/카테고리리더3/일반경쟁자1)와 서비스 유사도 가중치(1.0/0.7/0.4/0.2)는 예시값이며 미확정 상태입니다.</t>
        </is>
      </c>
    </row>
    <row r="38" ht="15.75" customHeight="1" s="42">
      <c r="A38" s="5" t="inlineStr">
        <is>
          <t>- BM 패턴 12개 서브셋은 초안이며, 최종 리스트는 팀 회의에서 확정합니다.</t>
        </is>
      </c>
    </row>
    <row r="39" ht="15.75" customHeight="1" s="42">
      <c r="A39" s="5" t="inlineStr">
        <is>
          <t>- evidence_id는 MVP 범위 제외(수동 큐레이션 정보라 VIEW로 표현 불가) — 필요 시 별도 참고용으로만 사용</t>
        </is>
      </c>
    </row>
    <row r="40" ht="15.75" customHeight="1" s="42"/>
    <row r="41" ht="15.75" customHeight="1" s="42"/>
    <row r="42" ht="15.75" customHeight="1" s="42"/>
    <row r="43" ht="15.75" customHeight="1" s="42"/>
    <row r="44" ht="15.75" customHeight="1" s="42"/>
    <row r="45" ht="15.75" customHeight="1" s="42"/>
    <row r="46" ht="15.75" customHeight="1" s="42"/>
    <row r="47" ht="15.75" customHeight="1" s="42"/>
    <row r="48" ht="15.75" customHeight="1" s="42"/>
    <row r="49" ht="15.75" customHeight="1" s="42"/>
    <row r="50" ht="15.75" customHeight="1" s="42"/>
    <row r="51" ht="15.75" customHeight="1" s="42"/>
    <row r="52" ht="15.75" customHeight="1" s="42"/>
    <row r="53" ht="15.75" customHeight="1" s="42"/>
    <row r="54" ht="15.75" customHeight="1" s="42"/>
    <row r="55" ht="15.75" customHeight="1" s="42"/>
    <row r="56" ht="15.75" customHeight="1" s="42"/>
    <row r="57" ht="15.75" customHeight="1" s="42"/>
    <row r="58" ht="15.75" customHeight="1" s="42"/>
    <row r="59" ht="15.75" customHeight="1" s="42"/>
    <row r="60" ht="15.75" customHeight="1" s="42"/>
    <row r="61" ht="15.75" customHeight="1" s="42"/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42" min="1" max="1"/>
    <col width="16" customWidth="1" style="42" min="2" max="2"/>
    <col width="12" customWidth="1" style="42" min="3" max="3"/>
    <col width="14" customWidth="1" style="42" min="4" max="4"/>
    <col width="10" customWidth="1" style="42" min="5" max="5"/>
    <col width="14" customWidth="1" style="42" min="6" max="6"/>
    <col width="12" customWidth="1" style="42" min="7" max="7"/>
    <col width="20" customWidth="1" style="42" min="8" max="8"/>
    <col width="16" customWidth="1" style="42" min="9" max="9"/>
    <col width="24" customWidth="1" style="42" min="10" max="10"/>
    <col width="20" customWidth="1" style="42" min="11" max="11"/>
    <col width="26" customWidth="1" style="42" min="12" max="13"/>
    <col width="12" customWidth="1" style="42" min="14" max="15"/>
    <col hidden="1" width="10" customWidth="1" style="42" min="16" max="18"/>
    <col width="22.57" customWidth="1" style="42" min="19" max="19"/>
    <col width="14.14" customWidth="1" style="42" min="20" max="20"/>
    <col width="8.710000000000001" customWidth="1" style="42" min="21" max="26"/>
  </cols>
  <sheetData>
    <row r="1">
      <c r="A1" s="8" t="inlineStr">
        <is>
          <t>competitor_id</t>
        </is>
      </c>
      <c r="B1" s="8" t="inlineStr">
        <is>
          <t>name</t>
        </is>
      </c>
      <c r="C1" s="8" t="inlineStr">
        <is>
          <t>category_1</t>
        </is>
      </c>
      <c r="D1" s="8" t="inlineStr">
        <is>
          <t>category_2</t>
        </is>
      </c>
      <c r="E1" s="8" t="inlineStr">
        <is>
          <t>country</t>
        </is>
      </c>
      <c r="F1" s="8" t="inlineStr">
        <is>
          <t>tier</t>
        </is>
      </c>
      <c r="G1" s="8" t="inlineStr">
        <is>
          <t>data_type</t>
        </is>
      </c>
      <c r="H1" s="8" t="inlineStr">
        <is>
          <t>target</t>
        </is>
      </c>
      <c r="I1" s="8" t="inlineStr">
        <is>
          <t>service_type</t>
        </is>
      </c>
      <c r="J1" s="8" t="inlineStr">
        <is>
          <t>core_tags</t>
        </is>
      </c>
      <c r="K1" s="8" t="inlineStr">
        <is>
          <t>sub_tags</t>
        </is>
      </c>
      <c r="L1" s="8" t="inlineStr">
        <is>
          <t>bm_pattern</t>
        </is>
      </c>
      <c r="M1" s="8" t="inlineStr">
        <is>
          <t>note</t>
        </is>
      </c>
      <c r="N1" s="8" t="inlineStr">
        <is>
          <t>created_at</t>
        </is>
      </c>
      <c r="O1" s="8" t="inlineStr">
        <is>
          <t>updated_at</t>
        </is>
      </c>
      <c r="P1" s="8" t="inlineStr">
        <is>
          <t>updated_at</t>
        </is>
      </c>
      <c r="Q1" s="8" t="inlineStr">
        <is>
          <t>updated_at</t>
        </is>
      </c>
      <c r="R1" s="8" t="inlineStr">
        <is>
          <t>updated_at</t>
        </is>
      </c>
      <c r="S1" s="8" t="inlineStr">
        <is>
          <t>limitation</t>
        </is>
      </c>
      <c r="T1" s="8" t="inlineStr">
        <is>
          <t>price</t>
        </is>
      </c>
    </row>
    <row r="2">
      <c r="A2" s="9" t="inlineStr">
        <is>
          <t>CP001</t>
        </is>
      </c>
      <c r="B2" s="10" t="inlineStr">
        <is>
          <t>눔(Noom)</t>
        </is>
      </c>
      <c r="C2" s="10" t="inlineStr">
        <is>
          <t>식단</t>
        </is>
      </c>
      <c r="D2" s="10" t="inlineStr">
        <is>
          <t>개입치료</t>
        </is>
      </c>
      <c r="E2" s="10" t="inlineStr">
        <is>
          <t>미국</t>
        </is>
      </c>
      <c r="F2" s="10" t="inlineStr">
        <is>
          <t>카테고리리더</t>
        </is>
      </c>
      <c r="G2" s="10" t="inlineStr">
        <is>
          <t>라이프스타일</t>
        </is>
      </c>
      <c r="H2" s="10" t="inlineStr">
        <is>
          <t>다이어터,20-40대</t>
        </is>
      </c>
      <c r="I2" s="10" t="inlineStr">
        <is>
          <t>앱단독</t>
        </is>
      </c>
      <c r="J2" s="10" t="inlineStr">
        <is>
          <t>식단기록,체중관리</t>
        </is>
      </c>
      <c r="K2" s="10" t="inlineStr">
        <is>
          <t>커뮤니티,코칭</t>
        </is>
      </c>
      <c r="L2" s="9" t="inlineStr">
        <is>
          <t>Subscription(구독형)</t>
        </is>
      </c>
      <c r="M2" s="10" t="inlineStr">
        <is>
          <t>예시행 - 실제 데이터로 교체</t>
        </is>
      </c>
      <c r="N2" s="9" t="inlineStr">
        <is>
          <t>2026-07-20</t>
        </is>
      </c>
      <c r="O2" s="9" t="inlineStr">
        <is>
          <t>2026-07-20</t>
        </is>
      </c>
      <c r="P2" s="23">
        <f>IF(L2="","",C2&amp;"|"&amp;D2&amp;"|"&amp;H2&amp;"|"&amp;I2&amp;"|"&amp;L2)</f>
        <v/>
      </c>
      <c r="Q2" s="23">
        <f>IF(P2="",0,IF(COUNTIF($P$2:P2,P2)=1,1,0))</f>
        <v/>
      </c>
      <c r="R2" s="23">
        <f>IF(Q2=1,SUM($Q$2:Q2),"")</f>
        <v/>
      </c>
    </row>
    <row r="3">
      <c r="A3" s="9" t="inlineStr">
        <is>
          <t>CP002</t>
        </is>
      </c>
      <c r="B3" s="10" t="inlineStr">
        <is>
          <t>삼성헬스</t>
        </is>
      </c>
      <c r="C3" s="10" t="inlineStr">
        <is>
          <t>운동</t>
        </is>
      </c>
      <c r="D3" s="10" t="inlineStr">
        <is>
          <t>데이터기록관리</t>
        </is>
      </c>
      <c r="E3" s="10" t="inlineStr">
        <is>
          <t>한국</t>
        </is>
      </c>
      <c r="F3" s="10" t="inlineStr">
        <is>
          <t>플랫폼</t>
        </is>
      </c>
      <c r="G3" s="10" t="inlineStr">
        <is>
          <t>생체지표</t>
        </is>
      </c>
      <c r="H3" s="10" t="inlineStr">
        <is>
          <t>전연령</t>
        </is>
      </c>
      <c r="I3" s="10" t="inlineStr">
        <is>
          <t>웨어러블연동</t>
        </is>
      </c>
      <c r="J3" s="10" t="inlineStr">
        <is>
          <t>심박수,걸음수,수면</t>
        </is>
      </c>
      <c r="K3" s="10" t="inlineStr">
        <is>
          <t>스트레스지수</t>
        </is>
      </c>
      <c r="L3" s="9" t="inlineStr">
        <is>
          <t>Lock-in(락인)</t>
        </is>
      </c>
      <c r="M3" s="10" t="inlineStr">
        <is>
          <t>예시행 - 실제 데이터로 교체</t>
        </is>
      </c>
      <c r="N3" s="9" t="inlineStr">
        <is>
          <t>2026-07-20</t>
        </is>
      </c>
      <c r="O3" s="9" t="inlineStr">
        <is>
          <t>2026-07-20</t>
        </is>
      </c>
      <c r="P3" s="23">
        <f>IF(L3="","",C3&amp;"|"&amp;D3&amp;"|"&amp;H3&amp;"|"&amp;I3&amp;"|"&amp;L3)</f>
        <v/>
      </c>
      <c r="Q3" s="23">
        <f>IF(P3="",0,IF(COUNTIF($P$2:P3,P3)=1,1,0))</f>
        <v/>
      </c>
      <c r="R3" s="23">
        <f>IF(Q3=1,SUM($Q$2:Q3),"")</f>
        <v/>
      </c>
    </row>
    <row r="4">
      <c r="A4" s="29" t="inlineStr">
        <is>
          <t>CP003</t>
        </is>
      </c>
      <c r="B4" s="25" t="inlineStr">
        <is>
          <t>핑크 다이어리</t>
        </is>
      </c>
      <c r="C4" s="25" t="inlineStr">
        <is>
          <t>여성건강</t>
        </is>
      </c>
      <c r="D4" s="25" t="inlineStr">
        <is>
          <t>데이터기록관리</t>
        </is>
      </c>
      <c r="E4" s="25" t="inlineStr">
        <is>
          <t>한국</t>
        </is>
      </c>
      <c r="F4" s="25" t="inlineStr">
        <is>
          <t>카테고리리더</t>
        </is>
      </c>
      <c r="G4" s="25" t="inlineStr">
        <is>
          <t>라이프스타일</t>
        </is>
      </c>
      <c r="H4" s="25" t="inlineStr">
        <is>
          <t>가임기 여성</t>
        </is>
      </c>
      <c r="I4" s="25" t="inlineStr">
        <is>
          <t>앱단독</t>
        </is>
      </c>
      <c r="J4" s="25" t="inlineStr">
        <is>
          <t>생리주기,배란예측</t>
        </is>
      </c>
      <c r="K4" s="25" t="inlineStr">
        <is>
          <t>임신확률,매거진구독</t>
        </is>
      </c>
      <c r="L4" s="25" t="inlineStr">
        <is>
          <t>Freemium(프리미엄)</t>
        </is>
      </c>
      <c r="M4" s="25" t="inlineStr">
        <is>
          <t>대한산부인과의사회 공식앱, 누적설치 680만</t>
        </is>
      </c>
      <c r="N4" s="14" t="n">
        <v>46225</v>
      </c>
      <c r="O4" s="14" t="n">
        <v>46225</v>
      </c>
      <c r="P4" s="23">
        <f>IF(L4="","",C4&amp;"|"&amp;D4&amp;"|"&amp;H4&amp;"|"&amp;I4&amp;"|"&amp;L4)</f>
        <v/>
      </c>
      <c r="Q4" s="23">
        <f>IF(P4="",0,IF(COUNTIF($P$2:P4,P4)=1,1,0))</f>
        <v/>
      </c>
      <c r="R4" s="23">
        <f>IF(Q4=1,SUM($Q$2:Q4),"")</f>
        <v/>
      </c>
      <c r="S4" s="15" t="inlineStr">
        <is>
          <t>생리주기 예측은 통계적 추정 방식이라 개인차가 크고 배란일·임신 확률을 보장하지 않으며, 전문 의료 상담을 대체하지 않음</t>
        </is>
      </c>
      <c r="T4" s="15" t="inlineStr">
        <is>
          <t>기본 앱 무료(회원가입만으로 전 기능 이용 가능); 매거진 구독도 무료, 명확한 유료 인앱상품은 확인되지 않음</t>
        </is>
      </c>
    </row>
    <row r="5">
      <c r="A5" s="29" t="inlineStr">
        <is>
          <t>CP004</t>
        </is>
      </c>
      <c r="B5" s="25" t="inlineStr">
        <is>
          <t>마미톡</t>
        </is>
      </c>
      <c r="C5" s="25" t="inlineStr">
        <is>
          <t>여성건강</t>
        </is>
      </c>
      <c r="D5" s="25" t="inlineStr">
        <is>
          <t>정보제공</t>
        </is>
      </c>
      <c r="E5" s="25" t="inlineStr">
        <is>
          <t>한국</t>
        </is>
      </c>
      <c r="F5" s="25" t="inlineStr">
        <is>
          <t>플랫폼</t>
        </is>
      </c>
      <c r="G5" s="25" t="inlineStr">
        <is>
          <t>라이프스타일</t>
        </is>
      </c>
      <c r="H5" s="25" t="inlineStr">
        <is>
          <t>임산부,초보양육자</t>
        </is>
      </c>
      <c r="I5" s="25" t="inlineStr">
        <is>
          <t>앱단독</t>
        </is>
      </c>
      <c r="J5" s="25" t="inlineStr">
        <is>
          <t>임신출산정보,커뮤니티</t>
        </is>
      </c>
      <c r="K5" s="25" t="inlineStr">
        <is>
          <t>육아용품쇼핑,전문가상담</t>
        </is>
      </c>
      <c r="L5" s="25" t="inlineStr">
        <is>
          <t>Two-sided Market(양면시장)</t>
        </is>
      </c>
      <c r="M5" s="25" t="inlineStr">
        <is>
          <t>대한민국 임신출산육아 대표앱</t>
        </is>
      </c>
      <c r="N5" s="14" t="n">
        <v>46225</v>
      </c>
      <c r="O5" s="14" t="n">
        <v>46225</v>
      </c>
      <c r="P5" s="23">
        <f>IF(L5="","",C5&amp;"|"&amp;D5&amp;"|"&amp;H5&amp;"|"&amp;I5&amp;"|"&amp;L5)</f>
        <v/>
      </c>
      <c r="Q5" s="23">
        <f>IF(P5="",0,IF(COUNTIF($P$2:P5,P5)=1,1,0))</f>
        <v/>
      </c>
      <c r="R5" s="23">
        <f>IF(Q5=1,SUM($Q$2:Q5),"")</f>
        <v/>
      </c>
      <c r="S5" s="15" t="inlineStr">
        <is>
          <t>분만병원 제휴 기반 광고·커머스 수익 구조라 정보 상당수가 협찬·판매 연계 콘텐츠일 수 있으며, 의료적 진단이나 상담을 대체하지 않음</t>
        </is>
      </c>
      <c r="T5" s="15" t="inlineStr">
        <is>
          <t>기본 앱·커뮤니티 이용 무료; 유료 전문가 클래스 멤버십 월 29,000원(1개월)~149,000원(12개월, 월환산 약 12,400원)</t>
        </is>
      </c>
    </row>
    <row r="6">
      <c r="A6" s="29" t="inlineStr">
        <is>
          <t>CP005</t>
        </is>
      </c>
      <c r="B6" s="25" t="inlineStr">
        <is>
          <t>블룸</t>
        </is>
      </c>
      <c r="C6" s="25" t="inlineStr">
        <is>
          <t>여성건강</t>
        </is>
      </c>
      <c r="D6" s="25" t="inlineStr">
        <is>
          <t>개입치료</t>
        </is>
      </c>
      <c r="E6" s="25" t="inlineStr">
        <is>
          <t>한국</t>
        </is>
      </c>
      <c r="F6" s="25" t="inlineStr">
        <is>
          <t>일반경쟁자</t>
        </is>
      </c>
      <c r="G6" s="25" t="inlineStr">
        <is>
          <t>라이프스타일</t>
        </is>
      </c>
      <c r="H6" s="25" t="inlineStr">
        <is>
          <t>난임부부</t>
        </is>
      </c>
      <c r="I6" s="25" t="inlineStr">
        <is>
          <t>B2B2C(기업복지제휴)</t>
        </is>
      </c>
      <c r="J6" s="25" t="inlineStr">
        <is>
          <t>난임관리,임신준비프로그램</t>
        </is>
      </c>
      <c r="K6" s="25" t="inlineStr">
        <is>
          <t>난임시술케어,코칭</t>
        </is>
      </c>
      <c r="L6" s="25" t="inlineStr">
        <is>
          <t>Performance-based Contracting(성과기반계약)</t>
        </is>
      </c>
      <c r="M6" s="25" t="inlineStr">
        <is>
          <t>LG화학 사내벤처, 기업 복지제휴 형태</t>
        </is>
      </c>
      <c r="N6" s="14" t="n">
        <v>46225</v>
      </c>
      <c r="O6" s="14" t="n">
        <v>46225</v>
      </c>
      <c r="P6" s="23">
        <f>IF(L6="","",C6&amp;"|"&amp;D6&amp;"|"&amp;H6&amp;"|"&amp;I6&amp;"|"&amp;L6)</f>
        <v/>
      </c>
      <c r="Q6" s="23">
        <f>IF(P6="",0,IF(COUNTIF($P$2:P6,P6)=1,1,0))</f>
        <v/>
      </c>
      <c r="R6" s="23">
        <f>IF(Q6=1,SUM($Q$2:Q6),"")</f>
        <v/>
      </c>
      <c r="S6" s="16" t="inlineStr">
        <is>
          <t>LG화학의 특정 난임치료 사업과 연계된 기업 운영 앱으로, 콘텐츠가 자사 제품·파트너 병원 중심으로 편중될 수 있으며 실제 진료·시술은 제공하지 않음</t>
        </is>
      </c>
      <c r="T6" s="15" t="inlineStr">
        <is>
          <t>완전 무료(LG화학이 운영하는 기업 브랜드 앱, 별도 결제 없음)</t>
        </is>
      </c>
    </row>
    <row r="7">
      <c r="A7" s="29" t="inlineStr">
        <is>
          <t>CP006</t>
        </is>
      </c>
      <c r="B7" s="25" t="inlineStr">
        <is>
          <t>자기만의방</t>
        </is>
      </c>
      <c r="C7" s="25" t="inlineStr">
        <is>
          <t>여성건강</t>
        </is>
      </c>
      <c r="D7" s="25" t="inlineStr">
        <is>
          <t>정보제공</t>
        </is>
      </c>
      <c r="E7" s="25" t="inlineStr">
        <is>
          <t>한국</t>
        </is>
      </c>
      <c r="F7" s="25" t="inlineStr">
        <is>
          <t>일반경쟁자</t>
        </is>
      </c>
      <c r="G7" s="25" t="inlineStr">
        <is>
          <t>라이프스타일</t>
        </is>
      </c>
      <c r="H7" s="25" t="inlineStr">
        <is>
          <t>여성 전연령</t>
        </is>
      </c>
      <c r="I7" s="25" t="inlineStr">
        <is>
          <t>앱단독</t>
        </is>
      </c>
      <c r="J7" s="25" t="inlineStr">
        <is>
          <t>성건강정보,커뮤니티</t>
        </is>
      </c>
      <c r="K7" s="25" t="inlineStr">
        <is>
          <t>이커머스연계</t>
        </is>
      </c>
      <c r="L7" s="25" t="inlineStr">
        <is>
          <t>Freemium(프리미엄)</t>
        </is>
      </c>
      <c r="M7" s="25" t="inlineStr">
        <is>
          <t>성 지식 콘텐츠, 커뮤니티 플랫폼</t>
        </is>
      </c>
      <c r="N7" s="14" t="n">
        <v>46225</v>
      </c>
      <c r="O7" s="14" t="n">
        <v>46225</v>
      </c>
      <c r="P7" s="23">
        <f>IF(L7="","",C7&amp;"|"&amp;D7&amp;"|"&amp;H7&amp;"|"&amp;I7&amp;"|"&amp;L7)</f>
        <v/>
      </c>
      <c r="Q7" s="23">
        <f>IF(P7="",0,IF(COUNTIF($P$2:P7,P7)=1,1,0))</f>
        <v/>
      </c>
      <c r="R7" s="23">
        <f>IF(Q7=1,SUM($Q$2:Q7),"")</f>
        <v/>
      </c>
      <c r="S7" s="15" t="inlineStr">
        <is>
          <t>성 지식 콘텐츠와 커머스 중심이라 의학적 진단이나 개인별 건강 상담 기능은 없으며, 심화 콘텐츠는 구독 결제가 필요함</t>
        </is>
      </c>
      <c r="T7" s="15" t="inlineStr">
        <is>
          <t>기본 콘텐츠·커뮤니티 무료; 전체 콘텐츠 무제한 이용 시 구독형 결제 월 4,900원 또는 연 47,000원</t>
        </is>
      </c>
    </row>
    <row r="8">
      <c r="A8" s="29" t="inlineStr">
        <is>
          <t>CP007</t>
        </is>
      </c>
      <c r="B8" s="25" t="inlineStr">
        <is>
          <t>해피문데이</t>
        </is>
      </c>
      <c r="C8" s="25" t="inlineStr">
        <is>
          <t>여성건강</t>
        </is>
      </c>
      <c r="D8" s="25" t="inlineStr">
        <is>
          <t>개입치료</t>
        </is>
      </c>
      <c r="E8" s="25" t="inlineStr">
        <is>
          <t>한국</t>
        </is>
      </c>
      <c r="F8" s="25" t="inlineStr">
        <is>
          <t>일반경쟁자</t>
        </is>
      </c>
      <c r="G8" s="25" t="inlineStr">
        <is>
          <t>라이프스타일</t>
        </is>
      </c>
      <c r="H8" s="25" t="inlineStr">
        <is>
          <t>가임기여성</t>
        </is>
      </c>
      <c r="I8" s="25" t="inlineStr">
        <is>
          <t>D2C구독</t>
        </is>
      </c>
      <c r="J8" s="25" t="inlineStr">
        <is>
          <t>유기농생리대,생리용품</t>
        </is>
      </c>
      <c r="K8" s="25" t="inlineStr">
        <is>
          <t>주기예측,정기배송</t>
        </is>
      </c>
      <c r="L8" s="25" t="inlineStr">
        <is>
          <t>Subscription(구독형)</t>
        </is>
      </c>
      <c r="M8" s="25" t="inlineStr">
        <is>
          <t>여성 헬스케어 기업, 중기부 TIPS 지원 기업 선정. 유기농 생리대 등 여성용품 정기구독 서비스</t>
        </is>
      </c>
      <c r="N8" s="14" t="n">
        <v>46228</v>
      </c>
      <c r="O8" s="14" t="n">
        <v>46228</v>
      </c>
      <c r="P8" s="23">
        <f>IF(L8="","",C8&amp;"|"&amp;D8&amp;"|"&amp;H8&amp;"|"&amp;I8&amp;"|"&amp;L8)</f>
        <v/>
      </c>
      <c r="Q8" s="23">
        <f>IF(P8="",0,IF(COUNTIF($P$2:P8,P8)=1,1,0))</f>
        <v/>
      </c>
      <c r="R8" s="23">
        <f>IF(Q8=1,SUM($Q$2:Q8),"")</f>
        <v/>
      </c>
      <c r="S8" s="15" t="inlineStr">
        <is>
          <t>여성용품 판매(D2C 커머스)가 핵심 수익원이라 앱의 건강정보·주기관리 기능이 결국 자사 제품 구매로 유도하는 구조이며, 의료 상담을 대체하지 않음</t>
        </is>
      </c>
      <c r="T8" s="15" t="inlineStr">
        <is>
          <t>앱·멤버십 자체 이용료는 없음; 유기농 생리대 등 제품은 건별 구매(중형 생리대 1팩 약 5,000~8,000원대)이며 정기구독 시 할인·무료배송 적용</t>
        </is>
      </c>
    </row>
    <row r="9">
      <c r="A9" s="29" t="inlineStr">
        <is>
          <t>CP008</t>
        </is>
      </c>
      <c r="B9" s="25" t="inlineStr">
        <is>
          <t>렛허</t>
        </is>
      </c>
      <c r="C9" s="25" t="inlineStr">
        <is>
          <t>여성건강</t>
        </is>
      </c>
      <c r="D9" s="25" t="inlineStr">
        <is>
          <t>정보제공</t>
        </is>
      </c>
      <c r="E9" s="25" t="inlineStr">
        <is>
          <t>한국</t>
        </is>
      </c>
      <c r="F9" s="25" t="inlineStr">
        <is>
          <t>일반경쟁자</t>
        </is>
      </c>
      <c r="G9" s="25" t="inlineStr">
        <is>
          <t>라이프스타일</t>
        </is>
      </c>
      <c r="H9" s="25" t="inlineStr">
        <is>
          <t xml:space="preserve">2030 여성 </t>
        </is>
      </c>
      <c r="I9" s="25" t="inlineStr">
        <is>
          <t>웹/커머스</t>
        </is>
      </c>
      <c r="J9" s="25" t="inlineStr">
        <is>
          <t>여성웰니스콘텐츠</t>
        </is>
      </c>
      <c r="K9" s="25" t="inlineStr">
        <is>
          <t>쇼핑몰</t>
        </is>
      </c>
      <c r="L9" s="25" t="inlineStr">
        <is>
          <t>Add-on(애드온)</t>
        </is>
      </c>
      <c r="M9" s="25" t="inlineStr">
        <is>
          <t>여성 웰니스 전문 미디어 &amp; 쇼핑몰. 펨테크 얼라이언스 참여사</t>
        </is>
      </c>
      <c r="N9" s="14" t="n">
        <v>46228</v>
      </c>
      <c r="O9" s="14" t="n">
        <v>46228</v>
      </c>
      <c r="P9" s="23">
        <f>IF(L9="","",C9&amp;"|"&amp;D9&amp;"|"&amp;H9&amp;"|"&amp;I9&amp;"|"&amp;L9)</f>
        <v/>
      </c>
      <c r="Q9" s="23">
        <f>IF(P9="",0,IF(COUNTIF($P$2:P9,P9)=1,1,0))</f>
        <v/>
      </c>
      <c r="R9" s="23">
        <f>IF(Q9=1,SUM($Q$2:Q9),"")</f>
        <v/>
      </c>
      <c r="S9" s="15" t="inlineStr">
        <is>
          <t>미디어 콘텐츠와 커머스가 결합된 소규모 스타트업으로 판매 제품 소싱과 큐레이션 범위가 제한적이며, 자체 임상·의학적 검증을 거친 콘텐츠는 아님</t>
        </is>
      </c>
      <c r="T9" s="15" t="inlineStr">
        <is>
          <t>콘텐츠 열람은 무료; 매출은 쇼핑몰 제품 판매 기반이며 제품군별 가격 상이</t>
        </is>
      </c>
    </row>
    <row r="10">
      <c r="A10" s="29" t="inlineStr">
        <is>
          <t>CP009</t>
        </is>
      </c>
      <c r="B10" s="25" t="inlineStr">
        <is>
          <t>달채비</t>
        </is>
      </c>
      <c r="C10" s="25" t="inlineStr">
        <is>
          <t>여성건강</t>
        </is>
      </c>
      <c r="D10" s="25" t="inlineStr">
        <is>
          <t>데이터기록관리</t>
        </is>
      </c>
      <c r="E10" s="25" t="inlineStr">
        <is>
          <t>한국</t>
        </is>
      </c>
      <c r="F10" s="25" t="inlineStr">
        <is>
          <t>일반경쟁자</t>
        </is>
      </c>
      <c r="G10" s="25" t="inlineStr">
        <is>
          <t>생체지표</t>
        </is>
      </c>
      <c r="H10" s="25" t="inlineStr">
        <is>
          <t>가임기여성</t>
        </is>
      </c>
      <c r="I10" s="25" t="inlineStr">
        <is>
          <t>앱단독</t>
        </is>
      </c>
      <c r="J10" s="25" t="inlineStr">
        <is>
          <t>월경데이터,AI맞춤추천</t>
        </is>
      </c>
      <c r="K10" s="25" t="inlineStr">
        <is>
          <t>여성건강습관코칭</t>
        </is>
      </c>
      <c r="L10" s="25" t="inlineStr">
        <is>
          <t>Leverage Customer Data(데이터활용)</t>
        </is>
      </c>
      <c r="M10" s="25" t="inlineStr">
        <is>
          <t>디에이엘컴퍼니(이화여대 창업팀) 운영. 월경 데이터를 분석해 개인별 월경용품·건강습관을 코칭하는 펨테크 앱</t>
        </is>
      </c>
      <c r="N10" s="14" t="n">
        <v>46228</v>
      </c>
      <c r="O10" s="14" t="n">
        <v>46228</v>
      </c>
      <c r="P10" s="23">
        <f>IF(L10="","",C10&amp;"|"&amp;D10&amp;"|"&amp;H10&amp;"|"&amp;I10&amp;"|"&amp;L10)</f>
        <v/>
      </c>
      <c r="Q10" s="23">
        <f>IF(P10="",0,IF(COUNTIF($P$2:P10,P10)=1,1,0))</f>
        <v/>
      </c>
      <c r="R10" s="23">
        <f>IF(Q10=1,SUM($Q$2:Q10),"")</f>
        <v/>
      </c>
      <c r="S10" s="15" t="inlineStr">
        <is>
          <t>이화여대 창업팀 기반의 초기 스타트업으로 이용자 규모와 수익모델이 아직 검증 단계이며, 월경·호르몬 분석 결과가 의학적 진단을 대체하지 않음</t>
        </is>
      </c>
      <c r="T10" s="15" t="inlineStr">
        <is>
          <t>앱 기본 기능 무료; 명확한 유료 구독 상품·결제 정보는 공개 자료에서 확인되지 않음(현재는 무료 서비스로 추정)</t>
        </is>
      </c>
    </row>
    <row r="11">
      <c r="A11" s="29" t="inlineStr">
        <is>
          <t>CP010</t>
        </is>
      </c>
      <c r="B11" s="17" t="inlineStr">
        <is>
          <t>달다방</t>
        </is>
      </c>
      <c r="C11" s="17" t="inlineStr">
        <is>
          <t>여성건강</t>
        </is>
      </c>
      <c r="D11" s="18" t="inlineStr">
        <is>
          <t>데이터기록관리</t>
        </is>
      </c>
      <c r="E11" s="17" t="inlineStr">
        <is>
          <t>한국</t>
        </is>
      </c>
      <c r="F11" s="17" t="inlineStr">
        <is>
          <t>플랫폼</t>
        </is>
      </c>
      <c r="G11" s="17" t="inlineStr">
        <is>
          <t>라이프스타일</t>
        </is>
      </c>
      <c r="H11" s="17" t="inlineStr">
        <is>
          <t>여성 전연령(청소년 포함)</t>
        </is>
      </c>
      <c r="I11" s="17" t="inlineStr">
        <is>
          <t>앱단독</t>
        </is>
      </c>
      <c r="J11" s="17" t="inlineStr">
        <is>
          <t>생리주기관리,초경교육</t>
        </is>
      </c>
      <c r="K11" s="17" t="inlineStr">
        <is>
          <t>커뮤니티,콘텐츠,커머스</t>
        </is>
      </c>
      <c r="L11" s="19" t="inlineStr">
        <is>
          <t>Leverage Customer Data(데이터활용)</t>
        </is>
      </c>
      <c r="M11" s="17" t="inlineStr">
        <is>
          <t>유한킴벌리가 직접 운영하는 여성건강 플랫폼. 2026년 5월 커머스·콘텐츠 결합형으로 대대적 개편, 멀티프로필로 가족 생리주기 관리 지원</t>
        </is>
      </c>
      <c r="N11" s="20" t="n">
        <v>46229</v>
      </c>
      <c r="O11" s="20" t="n">
        <v>46229</v>
      </c>
      <c r="P11" s="23">
        <f>IF(L11="","",C11&amp;"|"&amp;D11&amp;"|"&amp;H11&amp;"|"&amp;I11&amp;"|"&amp;L11)</f>
        <v/>
      </c>
      <c r="Q11" s="23">
        <f>IF(P11="",0,IF(COUNTIF($P$2:P11,P11)=1,1,0))</f>
        <v/>
      </c>
      <c r="R11" s="23">
        <f>IF(Q11=1,SUM($Q$2:Q11),"")</f>
        <v/>
      </c>
      <c r="S11" s="15" t="inlineStr">
        <is>
          <t>유한킴벌리 자사·제휴 여성용품 판매와 연계된 기업 운영 앱이라 추천 제품이 자사 브랜드 위주로 편중될 수 있음</t>
        </is>
      </c>
      <c r="T11" s="15" t="inlineStr">
        <is>
          <t>완전 무료(유한킴벌리가 직접 운영하는 브랜드 앱; 앱 내 커머스는 제품 구매 시에만 별도 결제)</t>
        </is>
      </c>
    </row>
    <row r="12">
      <c r="A12" s="29" t="inlineStr">
        <is>
          <t>CP011</t>
        </is>
      </c>
      <c r="B12" s="17" t="inlineStr">
        <is>
          <t>베이비빌리</t>
        </is>
      </c>
      <c r="C12" s="17" t="inlineStr">
        <is>
          <t>여성건강</t>
        </is>
      </c>
      <c r="D12" s="17" t="inlineStr">
        <is>
          <t>정보제공</t>
        </is>
      </c>
      <c r="E12" s="17" t="inlineStr">
        <is>
          <t>한국</t>
        </is>
      </c>
      <c r="F12" s="17" t="inlineStr">
        <is>
          <t>카테고리리더</t>
        </is>
      </c>
      <c r="G12" s="17" t="inlineStr">
        <is>
          <t>라이프스타일</t>
        </is>
      </c>
      <c r="H12" s="17" t="inlineStr">
        <is>
          <t>임산부,예비부모</t>
        </is>
      </c>
      <c r="I12" s="17" t="inlineStr">
        <is>
          <t>앱단독</t>
        </is>
      </c>
      <c r="J12" s="17" t="inlineStr">
        <is>
          <t>임신육아정보,커뮤니티(베동)</t>
        </is>
      </c>
      <c r="K12" s="17" t="inlineStr">
        <is>
          <t>빌리쇼핑(커머스)</t>
        </is>
      </c>
      <c r="L12" s="19" t="inlineStr">
        <is>
          <t>Two-sided Market(양면시장)</t>
        </is>
      </c>
      <c r="M12" s="17" t="inlineStr">
        <is>
          <t>빌리지베이비 운영. 200만 이용자를 보유한 임신·육아 콘텐츠·커머스 앱으로 2025년 말~2026년 초에도 활발히 이벤트 진행 중</t>
        </is>
      </c>
      <c r="N12" s="20" t="n">
        <v>46229</v>
      </c>
      <c r="O12" s="20" t="n">
        <v>46229</v>
      </c>
      <c r="P12" s="23">
        <f>IF(L12="","",C12&amp;"|"&amp;D12&amp;"|"&amp;H12&amp;"|"&amp;I12&amp;"|"&amp;L12)</f>
        <v/>
      </c>
      <c r="Q12" s="23">
        <f>IF(P12="",0,IF(COUNTIF($P$2:P12,P12)=1,1,0))</f>
        <v/>
      </c>
      <c r="R12" s="23">
        <f>IF(Q12=1,SUM($Q$2:Q12),"")</f>
        <v/>
      </c>
      <c r="S12" s="15" t="inlineStr">
        <is>
          <t>커뮤니티 게시물에 대한 AI 자동 모니터링에 의존하는 구조라 잘못된 정보나 비검증 후기가 유통될 수 있으며, 전문 의료 상담을 대체하지 않음</t>
        </is>
      </c>
      <c r="T12" s="15" t="inlineStr">
        <is>
          <t>완전 무료(커뮤니티·콘텐츠·쇼핑 전 기능 무료 제공, 커머스 판매 수수료가 주요 수익원)</t>
        </is>
      </c>
    </row>
    <row r="13">
      <c r="A13" s="29" t="inlineStr">
        <is>
          <t>CP012</t>
        </is>
      </c>
      <c r="B13" s="21" t="inlineStr">
        <is>
          <t>카이헬스</t>
        </is>
      </c>
      <c r="C13" s="17" t="inlineStr">
        <is>
          <t>여성건강</t>
        </is>
      </c>
      <c r="D13" s="18" t="inlineStr">
        <is>
          <t>개입치료</t>
        </is>
      </c>
      <c r="E13" s="17" t="inlineStr">
        <is>
          <t>한국</t>
        </is>
      </c>
      <c r="F13" s="17" t="inlineStr">
        <is>
          <t>일반경쟁자</t>
        </is>
      </c>
      <c r="G13" s="17" t="inlineStr">
        <is>
          <t>생체지표</t>
        </is>
      </c>
      <c r="H13" s="17" t="inlineStr">
        <is>
          <t>난임부부</t>
        </is>
      </c>
      <c r="I13" s="19" t="inlineStr">
        <is>
          <t>B2B(의료기관 대상 SaaS)</t>
        </is>
      </c>
      <c r="J13" s="17" t="inlineStr">
        <is>
          <t>난임AI솔루션,배아분석</t>
        </is>
      </c>
      <c r="K13" s="17" t="inlineStr">
        <is>
          <t>비타 엠브리오</t>
        </is>
      </c>
      <c r="L13" s="19" t="inlineStr">
        <is>
          <t>Performance-based Contracting(성과기반계약)</t>
        </is>
      </c>
      <c r="M13" s="17" t="inlineStr">
        <is>
          <t>산부인과 전문의 출신이 창업. AI로 배아 영상을 분석해 임신 성공률이 높은 배아를 선별하는 솔루션을 국내외 병원과 제휴해 제공</t>
        </is>
      </c>
      <c r="N13" s="20" t="n">
        <v>46229</v>
      </c>
      <c r="O13" s="20" t="n">
        <v>46229</v>
      </c>
      <c r="P13" s="23">
        <f>IF(L13="","",C13&amp;"|"&amp;D13&amp;"|"&amp;H13&amp;"|"&amp;I13&amp;"|"&amp;L13)</f>
        <v/>
      </c>
      <c r="Q13" s="23">
        <f>IF(P13="",0,IF(COUNTIF($P$2:P13,P13)=1,1,0))</f>
        <v/>
      </c>
      <c r="R13" s="23">
        <f>IF(Q13=1,SUM($Q$2:Q13),"")</f>
        <v/>
      </c>
      <c r="S13" s="15" t="inlineStr">
        <is>
          <t>일반 소비자가 직접 이용할 수 없고 제휴 의료기관을 통해서만 접근 가능하며, AI 배아 선별은 임신 성공률을 높이는 보조 수단일 뿐 시술 성공을 보장하지 않음</t>
        </is>
      </c>
      <c r="T13" s="16" t="inlineStr">
        <is>
          <t>B2B(의료기관 대상 계약형) 솔루션으로 소비자 대상 공개 가격 없음; 병원별 계약 조건에 따라 이용료가 상이한 것으로 추정</t>
        </is>
      </c>
    </row>
    <row r="14">
      <c r="A14" s="29" t="inlineStr">
        <is>
          <t>CP013</t>
        </is>
      </c>
      <c r="B14" s="17" t="inlineStr">
        <is>
          <t>듀이랩스(포이컵)</t>
        </is>
      </c>
      <c r="C14" s="17" t="inlineStr">
        <is>
          <t>여성건강</t>
        </is>
      </c>
      <c r="D14" s="17" t="inlineStr">
        <is>
          <t>개입치료</t>
        </is>
      </c>
      <c r="E14" s="17" t="inlineStr">
        <is>
          <t>한국</t>
        </is>
      </c>
      <c r="F14" s="17" t="inlineStr">
        <is>
          <t>일반경쟁자</t>
        </is>
      </c>
      <c r="G14" s="17" t="inlineStr">
        <is>
          <t>라이프스타일</t>
        </is>
      </c>
      <c r="H14" s="18" t="inlineStr">
        <is>
          <t>가임기여성</t>
        </is>
      </c>
      <c r="I14" s="19" t="inlineStr">
        <is>
          <t>D2C(제조판매)</t>
        </is>
      </c>
      <c r="J14" s="17" t="inlineStr">
        <is>
          <t>월경디스크,다회용생리컵</t>
        </is>
      </c>
      <c r="K14" s="17" t="inlineStr">
        <is>
          <t>식약처·FDA 허가</t>
        </is>
      </c>
      <c r="L14" s="19" t="inlineStr">
        <is>
          <t>Razor And Blade(레이저블레</t>
        </is>
      </c>
      <c r="M14" s="17" t="inlineStr">
        <is>
          <t>국내 최초 디스크형 월경컵 '포이컵'을 개발한 페미닌 헬스케어 스타트업. 2026년 기준 5년차 중소기업으로 운영 중</t>
        </is>
      </c>
      <c r="N14" s="20" t="n">
        <v>46229</v>
      </c>
      <c r="O14" s="20" t="n">
        <v>46229</v>
      </c>
      <c r="P14" s="23">
        <f>IF(L14="","",C14&amp;"|"&amp;D14&amp;"|"&amp;H14&amp;"|"&amp;I14&amp;"|"&amp;L14)</f>
        <v/>
      </c>
      <c r="Q14" s="23">
        <f>IF(P14="",0,IF(COUNTIF($P$2:P14,P14)=1,1,0))</f>
        <v/>
      </c>
      <c r="R14" s="23">
        <f>IF(Q14=1,SUM($Q$2:Q14),"")</f>
        <v/>
      </c>
      <c r="S14" s="15" t="inlineStr">
        <is>
          <t>삽입형 월경용품 특성상 신체 구조에 따라 착용감·적합도 차이가 크고, 원사이즈로만 판매돼 사용자에 따라 불편함을 느낄 수 있음</t>
        </is>
      </c>
      <c r="T14" s="15" t="inlineStr">
        <is>
          <t>포이컵 본품 정가 34,500원(1회 구매 후 반영구적 사용); 별도 구독료 없음</t>
        </is>
      </c>
    </row>
    <row r="15">
      <c r="A15" s="29" t="inlineStr">
        <is>
          <t>CP014</t>
        </is>
      </c>
      <c r="B15" s="17" t="inlineStr">
        <is>
          <t>슈얼리(Surely)</t>
        </is>
      </c>
      <c r="C15" s="17" t="inlineStr">
        <is>
          <t>여성건강</t>
        </is>
      </c>
      <c r="D15" s="17" t="inlineStr">
        <is>
          <t>개입치료</t>
        </is>
      </c>
      <c r="E15" s="17" t="inlineStr">
        <is>
          <t>한국</t>
        </is>
      </c>
      <c r="F15" s="17" t="inlineStr">
        <is>
          <t>일반경쟁자</t>
        </is>
      </c>
      <c r="G15" s="17" t="inlineStr">
        <is>
          <t>생체지표</t>
        </is>
      </c>
      <c r="H15" s="17" t="inlineStr">
        <is>
          <t>가임기~갱년기 여성</t>
        </is>
      </c>
      <c r="I15" s="17" t="inlineStr">
        <is>
          <t>기기+소모품(D2C)</t>
        </is>
      </c>
      <c r="J15" s="17" t="inlineStr">
        <is>
          <t>배란테스트기,폐경호르몬(FSH)테스트기</t>
        </is>
      </c>
      <c r="K15" s="17" t="inlineStr">
        <is>
          <t>스마트기기 연동</t>
        </is>
      </c>
      <c r="L15" s="19" t="inlineStr">
        <is>
          <t>Razor And Blade(레이저블레</t>
        </is>
      </c>
      <c r="M15" s="17" t="inlineStr">
        <is>
          <t>스마트 배란테스트기·임신테스트기·폐경호르몬테스트기를 기기 본체와 스트립(소모품) 형태로 판매하는 여성 호르몬 자가진단 브랜드</t>
        </is>
      </c>
      <c r="N15" s="20" t="n">
        <v>46229</v>
      </c>
      <c r="O15" s="20" t="n">
        <v>46229</v>
      </c>
      <c r="P15" s="23">
        <f>IF(L15="","",C15&amp;"|"&amp;D15&amp;"|"&amp;H15&amp;"|"&amp;I15&amp;"|"&amp;L15)</f>
        <v/>
      </c>
      <c r="Q15" s="23">
        <f>IF(P15="",0,IF(COUNTIF($P$2:P15,P15)=1,1,0))</f>
        <v/>
      </c>
      <c r="R15" s="23">
        <f>IF(Q15=1,SUM($Q$2:Q15),"")</f>
        <v/>
      </c>
      <c r="S15" s="15" t="inlineStr">
        <is>
          <t>스마트 기기와 스트립을 함께 구매해야 하는 소모품 구조로 초기 비용 부담이 있고, 자가진단 결과가 병원 호르몬 검사를 대체하지 않음</t>
        </is>
      </c>
      <c r="T15" s="15" t="inlineStr">
        <is>
          <t>스마트 기기 본체 약 5.8만원대(정가)에 테스트 스트립 10~30개입 1.4만~5만원대를 별도 구매; 비(非)스마트 스트립형은 1.4만~2만원대</t>
        </is>
      </c>
    </row>
    <row r="16">
      <c r="A16" s="29" t="inlineStr">
        <is>
          <t>CP015</t>
        </is>
      </c>
      <c r="B16" s="25" t="inlineStr">
        <is>
          <t>화해</t>
        </is>
      </c>
      <c r="C16" s="25" t="inlineStr">
        <is>
          <t>미용</t>
        </is>
      </c>
      <c r="D16" s="25" t="inlineStr">
        <is>
          <t>정보제공</t>
        </is>
      </c>
      <c r="E16" s="25" t="inlineStr">
        <is>
          <t>한국</t>
        </is>
      </c>
      <c r="F16" s="25" t="inlineStr">
        <is>
          <t>플랫폼</t>
        </is>
      </c>
      <c r="G16" s="25" t="inlineStr">
        <is>
          <t>라이프스타일</t>
        </is>
      </c>
      <c r="H16" s="25" t="inlineStr">
        <is>
          <t>전연령뷰티소비자</t>
        </is>
      </c>
      <c r="I16" s="25" t="inlineStr">
        <is>
          <t>앱단독</t>
        </is>
      </c>
      <c r="J16" s="25" t="inlineStr">
        <is>
          <t>성분분석,리뷰,랭킹</t>
        </is>
      </c>
      <c r="K16" s="25" t="inlineStr">
        <is>
          <t>쇼핑,제품비교,피부진단</t>
        </is>
      </c>
      <c r="L16" s="25" t="inlineStr">
        <is>
          <t>Leverage Customer Data(데이터활용)</t>
        </is>
      </c>
      <c r="M16" s="25" t="inlineStr">
        <is>
          <t>버드뷰 운영, 국내 1등 뷰티앱</t>
        </is>
      </c>
      <c r="N16" s="14" t="n">
        <v>46225</v>
      </c>
      <c r="O16" s="14" t="n">
        <v>46225</v>
      </c>
      <c r="P16" s="23">
        <f>IF(L16="","",C16&amp;"|"&amp;D16&amp;"|"&amp;H16&amp;"|"&amp;I16&amp;"|"&amp;L16)</f>
        <v/>
      </c>
      <c r="Q16" s="23">
        <f>IF(P16="",0,IF(COUNTIF($P$2:P16,P16)=1,1,0))</f>
        <v/>
      </c>
      <c r="R16" s="23">
        <f>IF(Q16=1,SUM($Q$2:Q16),"")</f>
        <v/>
      </c>
      <c r="S16" s="15" t="inlineStr">
        <is>
          <t>리뷰·랭킹이 실사용자 후기 기반이라 광고성 후기나 개인차를 완전히 걸러내기 어렵고, 성분 정보가 실제 피부 반응이나 알레르기까지 보장하지 않음</t>
        </is>
      </c>
      <c r="T16" s="15" t="inlineStr">
        <is>
          <t>앱 이용 완전 무료; 브랜드 광고·커머스 수수료가 주요 수익원</t>
        </is>
      </c>
    </row>
    <row r="17">
      <c r="A17" s="29" t="inlineStr">
        <is>
          <t>CP016</t>
        </is>
      </c>
      <c r="B17" s="25" t="inlineStr">
        <is>
          <t>미미박스</t>
        </is>
      </c>
      <c r="C17" s="25" t="inlineStr">
        <is>
          <t>미용</t>
        </is>
      </c>
      <c r="D17" s="25" t="inlineStr">
        <is>
          <t>매칭연결</t>
        </is>
      </c>
      <c r="E17" s="25" t="inlineStr">
        <is>
          <t>한국</t>
        </is>
      </c>
      <c r="F17" s="25" t="inlineStr">
        <is>
          <t>카테고리리더</t>
        </is>
      </c>
      <c r="G17" s="25" t="inlineStr">
        <is>
          <t>라이프스타일</t>
        </is>
      </c>
      <c r="H17" s="25" t="inlineStr">
        <is>
          <t>전연령뷰티소비자</t>
        </is>
      </c>
      <c r="I17" s="25" t="inlineStr">
        <is>
          <t>커머스연계</t>
        </is>
      </c>
      <c r="J17" s="25" t="inlineStr">
        <is>
          <t>뷰티커머스,구독박스,브랜드쇼핑</t>
        </is>
      </c>
      <c r="K17" s="25" t="inlineStr">
        <is>
          <t>리뷰,해외배송</t>
        </is>
      </c>
      <c r="L17" s="25" t="inlineStr">
        <is>
          <t>Subscription(구독형)</t>
        </is>
      </c>
      <c r="M17" s="25" t="inlineStr">
        <is>
          <t>구독형 뷰티박스로 시작, 커머스 확장</t>
        </is>
      </c>
      <c r="N17" s="14" t="n">
        <v>46225</v>
      </c>
      <c r="O17" s="14" t="n">
        <v>46225</v>
      </c>
      <c r="P17" s="23">
        <f>IF(L17="","",C17&amp;"|"&amp;D17&amp;"|"&amp;H17&amp;"|"&amp;I17&amp;"|"&amp;L17)</f>
        <v/>
      </c>
      <c r="Q17" s="23">
        <f>IF(P17="",0,IF(COUNTIF($P$2:P17,P17)=1,1,0))</f>
        <v/>
      </c>
      <c r="R17" s="23">
        <f>IF(Q17=1,SUM($Q$2:Q17),"")</f>
        <v/>
      </c>
      <c r="S17" s="15" t="inlineStr">
        <is>
          <t>구독박스 모델에서 일반 이커머스로 전환하며 초기의 '깜짝 큐레이션' 정체성이 약해졌고, 자체 브랜드(미미) 상품과 협찬 제품 비중이 높아 객관적 비교가 어려울 수 있음</t>
        </is>
      </c>
      <c r="T17" s="15" t="inlineStr">
        <is>
          <t>구독형 뷰티박스에서 이커머스로 전환; 현재는 상품별 개별 판매가로 결제(정기구독 멤버십 없음)</t>
        </is>
      </c>
    </row>
    <row r="18">
      <c r="A18" s="29" t="inlineStr">
        <is>
          <t>CP017</t>
        </is>
      </c>
      <c r="B18" s="25" t="inlineStr">
        <is>
          <t>글로우픽</t>
        </is>
      </c>
      <c r="C18" s="25" t="inlineStr">
        <is>
          <t>미용</t>
        </is>
      </c>
      <c r="D18" s="25" t="inlineStr">
        <is>
          <t>정보제공</t>
        </is>
      </c>
      <c r="E18" s="25" t="inlineStr">
        <is>
          <t>한국</t>
        </is>
      </c>
      <c r="F18" s="25" t="inlineStr">
        <is>
          <t>일반경쟁자</t>
        </is>
      </c>
      <c r="G18" s="25" t="inlineStr">
        <is>
          <t>라이프스타일</t>
        </is>
      </c>
      <c r="H18" s="25" t="inlineStr">
        <is>
          <t>전연령뷰티소비자</t>
        </is>
      </c>
      <c r="I18" s="25" t="inlineStr">
        <is>
          <t>앱단독</t>
        </is>
      </c>
      <c r="J18" s="25" t="inlineStr">
        <is>
          <t>제품랭킹,리뷰,맞춤추천</t>
        </is>
      </c>
      <c r="K18" s="25" t="inlineStr">
        <is>
          <t>소핑연계,체험단,리워드</t>
        </is>
      </c>
      <c r="L18" s="25" t="inlineStr">
        <is>
          <t>Freemium(프리미엄)</t>
        </is>
      </c>
      <c r="M18" s="25" t="inlineStr">
        <is>
          <t>100만명 이상 리뷰 데이터 기반 뷰티 랭킹 서비스</t>
        </is>
      </c>
      <c r="N18" s="14" t="n">
        <v>46225</v>
      </c>
      <c r="O18" s="14" t="n">
        <v>46225</v>
      </c>
      <c r="P18" s="23">
        <f>IF(L18="","",C18&amp;"|"&amp;D18&amp;"|"&amp;H18&amp;"|"&amp;I18&amp;"|"&amp;L18)</f>
        <v/>
      </c>
      <c r="Q18" s="23">
        <f>IF(P18="",0,IF(COUNTIF($P$2:P18,P18)=1,1,0))</f>
        <v/>
      </c>
      <c r="R18" s="23">
        <f>IF(Q18=1,SUM($Q$2:Q18),"")</f>
        <v/>
      </c>
      <c r="S18" s="15" t="inlineStr">
        <is>
          <t>리뷰 수 기반 랭킹이라 신제품이나 마케팅 예산이 적은 브랜드는 상위 노출되기 어려우며, 체험단 후기가 섞여 있어 완전한 객관성을 담보하기 어려움</t>
        </is>
      </c>
      <c r="T18" s="15" t="inlineStr">
        <is>
          <t>앱 이용 무료; 브랜드 제휴·광고 수익 기반</t>
        </is>
      </c>
    </row>
    <row r="19">
      <c r="A19" s="29" t="inlineStr">
        <is>
          <t>CP018</t>
        </is>
      </c>
      <c r="B19" s="25" t="inlineStr">
        <is>
          <t>언니의파우치</t>
        </is>
      </c>
      <c r="C19" s="25" t="inlineStr">
        <is>
          <t>미용</t>
        </is>
      </c>
      <c r="D19" s="25" t="inlineStr">
        <is>
          <t>정보제공</t>
        </is>
      </c>
      <c r="E19" s="25" t="inlineStr">
        <is>
          <t>한국</t>
        </is>
      </c>
      <c r="F19" s="25" t="inlineStr">
        <is>
          <t>일반경쟁자</t>
        </is>
      </c>
      <c r="G19" s="25" t="inlineStr">
        <is>
          <t>라이프스타일</t>
        </is>
      </c>
      <c r="H19" s="25" t="inlineStr">
        <is>
          <t>여성 전연령</t>
        </is>
      </c>
      <c r="I19" s="25" t="inlineStr">
        <is>
          <t>앱단독</t>
        </is>
      </c>
      <c r="J19" s="25" t="inlineStr">
        <is>
          <t>리뷰,화장품검색/추천,커뮤니티</t>
        </is>
      </c>
      <c r="K19" s="25" t="inlineStr">
        <is>
          <t>랭킹,체험단,쇼핑연</t>
        </is>
      </c>
      <c r="L19" s="25" t="inlineStr">
        <is>
          <t>Freemium(프리미엄)</t>
        </is>
      </c>
      <c r="M19" s="25" t="inlineStr">
        <is>
          <t>화장품 리뷰/실사용자 체험단 기반 뷰티 정보 앱, 화해/글로우픽과 함께 3대 뷰티 리뷰앱으로 거론</t>
        </is>
      </c>
      <c r="N19" s="14" t="n">
        <v>46225</v>
      </c>
      <c r="O19" s="14" t="n">
        <v>46225</v>
      </c>
      <c r="P19" s="23">
        <f>IF(L19="","",C19&amp;"|"&amp;D19&amp;"|"&amp;H19&amp;"|"&amp;I19&amp;"|"&amp;L19)</f>
        <v/>
      </c>
      <c r="Q19" s="23">
        <f>IF(P19="",0,IF(COUNTIF($P$2:P19,P19)=1,1,0))</f>
        <v/>
      </c>
      <c r="R19" s="23">
        <f>IF(Q19=1,SUM($Q$2:Q19),"")</f>
        <v/>
      </c>
      <c r="S19" s="15" t="inlineStr">
        <is>
          <t>체험단 후기 비중이 높아 일반 구매 후기와 섞일 경우 객관성 판단이 어려우며, 화해·글로우픽 대비 사용자 규모가 작아 리뷰 데이터량이 상대적으로 적음</t>
        </is>
      </c>
      <c r="T19" s="15" t="inlineStr">
        <is>
          <t>앱 이용 무료; 체험단·광고 수익 기반</t>
        </is>
      </c>
    </row>
    <row r="20">
      <c r="A20" s="29" t="inlineStr">
        <is>
          <t>CP019</t>
        </is>
      </c>
      <c r="B20" s="25" t="inlineStr">
        <is>
          <t>강남언니</t>
        </is>
      </c>
      <c r="C20" s="25" t="inlineStr">
        <is>
          <t>미용</t>
        </is>
      </c>
      <c r="D20" s="25" t="inlineStr">
        <is>
          <t>매칭연결</t>
        </is>
      </c>
      <c r="E20" s="25" t="inlineStr">
        <is>
          <t>한국</t>
        </is>
      </c>
      <c r="F20" s="25" t="inlineStr">
        <is>
          <t>카테고리리더</t>
        </is>
      </c>
      <c r="G20" s="25" t="inlineStr">
        <is>
          <t>라이프스타일</t>
        </is>
      </c>
      <c r="H20" s="25" t="inlineStr">
        <is>
          <t>성형/피부시술관심</t>
        </is>
      </c>
      <c r="I20" s="25" t="inlineStr">
        <is>
          <t>앱단독</t>
        </is>
      </c>
      <c r="J20" s="25" t="inlineStr">
        <is>
          <t>성형정보,후기</t>
        </is>
      </c>
      <c r="K20" s="25" t="inlineStr">
        <is>
          <t>병원매칭,상담예약</t>
        </is>
      </c>
      <c r="L20" s="25" t="inlineStr">
        <is>
          <t>Two-sided Market(양면시장)</t>
        </is>
      </c>
      <c r="M20" s="25" t="inlineStr">
        <is>
          <t>성형/피부과 후기 및 병원 매칭 플랫폼, 국내 대표 의료미용 정보 앱</t>
        </is>
      </c>
      <c r="N20" s="14" t="n">
        <v>46225</v>
      </c>
      <c r="O20" s="14" t="n">
        <v>46225</v>
      </c>
      <c r="P20" s="23">
        <f>IF(L20="","",C20&amp;"|"&amp;D20&amp;"|"&amp;H20&amp;"|"&amp;I20&amp;"|"&amp;L20)</f>
        <v/>
      </c>
      <c r="Q20" s="23">
        <f>IF(P20="",0,IF(COUNTIF($P$2:P20,P20)=1,1,0))</f>
        <v/>
      </c>
      <c r="R20" s="23">
        <f>IF(Q20=1,SUM($Q$2:Q20),"")</f>
        <v/>
      </c>
      <c r="S20" s="15" t="inlineStr">
        <is>
          <t>병원 정보가 광고비를 지불한 제휴 병원 위주로 노출될 수 있어 완전히 중립적인 비교는 어려우며, 시술 후기의 진위 여부를 이용자가 직접 판단해야 함</t>
        </is>
      </c>
      <c r="T20" s="15" t="inlineStr">
        <is>
          <t>앱 이용 무료; 병원 광고·매칭 수수료가 주요 수익원</t>
        </is>
      </c>
    </row>
    <row r="21" ht="15.75" customHeight="1" s="42">
      <c r="A21" s="29" t="inlineStr">
        <is>
          <t>CP020</t>
        </is>
      </c>
      <c r="B21" s="25" t="inlineStr">
        <is>
          <t>바비톡</t>
        </is>
      </c>
      <c r="C21" s="25" t="inlineStr">
        <is>
          <t>미용</t>
        </is>
      </c>
      <c r="D21" s="25" t="inlineStr">
        <is>
          <t>매칭연결</t>
        </is>
      </c>
      <c r="E21" s="25" t="inlineStr">
        <is>
          <t>한국</t>
        </is>
      </c>
      <c r="F21" s="25" t="inlineStr">
        <is>
          <t>일반경쟁자</t>
        </is>
      </c>
      <c r="G21" s="25" t="inlineStr">
        <is>
          <t>라이프스타일</t>
        </is>
      </c>
      <c r="H21" s="25" t="inlineStr">
        <is>
          <t>성형/피부시술관심</t>
        </is>
      </c>
      <c r="I21" s="25" t="inlineStr">
        <is>
          <t>앱단독</t>
        </is>
      </c>
      <c r="J21" s="25" t="inlineStr">
        <is>
          <t>성형정보,후기</t>
        </is>
      </c>
      <c r="K21" s="25" t="inlineStr">
        <is>
          <t>병원매칭,상담예약</t>
        </is>
      </c>
      <c r="L21" s="25" t="inlineStr">
        <is>
          <t>Two-sided Market(양면시장)</t>
        </is>
      </c>
      <c r="M21" s="25" t="inlineStr">
        <is>
          <t>강남언니와 함께 국내 양대 성형정보 매칭 플랫폼으로 거론</t>
        </is>
      </c>
      <c r="N21" s="14" t="n">
        <v>46225</v>
      </c>
      <c r="O21" s="14" t="n">
        <v>46225</v>
      </c>
      <c r="P21" s="23">
        <f>IF(L21="","",C21&amp;"|"&amp;D21&amp;"|"&amp;H21&amp;"|"&amp;I21&amp;"|"&amp;L21)</f>
        <v/>
      </c>
      <c r="Q21" s="23">
        <f>IF(P21="",0,IF(COUNTIF($P$2:P21,P21)=1,1,0))</f>
        <v/>
      </c>
      <c r="R21" s="23">
        <f>IF(Q21=1,SUM($Q$2:Q21),"")</f>
        <v/>
      </c>
      <c r="S21" s="15" t="inlineStr">
        <is>
          <t>강남언니와 마찬가지로 병원 제휴·광고 기반 노출 구조이며, 실제 시술 결과와 후기 사진의 진위를 이용자가 직접 검증해야 함</t>
        </is>
      </c>
      <c r="T21" s="15" t="inlineStr">
        <is>
          <t>앱 이용 무료; 병원 광고·매칭 수수료가 주요 수익원</t>
        </is>
      </c>
    </row>
    <row r="22" ht="15.75" customHeight="1" s="42">
      <c r="A22" s="29" t="inlineStr">
        <is>
          <t>CP021</t>
        </is>
      </c>
      <c r="B22" s="25" t="inlineStr">
        <is>
          <t>톤28</t>
        </is>
      </c>
      <c r="C22" s="25" t="inlineStr">
        <is>
          <t>미용</t>
        </is>
      </c>
      <c r="D22" s="25" t="inlineStr">
        <is>
          <t>개입치료</t>
        </is>
      </c>
      <c r="E22" s="25" t="inlineStr">
        <is>
          <t>한국</t>
        </is>
      </c>
      <c r="F22" s="25" t="inlineStr">
        <is>
          <t>일반경쟁자</t>
        </is>
      </c>
      <c r="G22" s="25" t="inlineStr">
        <is>
          <t>생체지표</t>
        </is>
      </c>
      <c r="H22" s="25" t="inlineStr">
        <is>
          <t>전연령뷰티소비자</t>
        </is>
      </c>
      <c r="I22" s="25" t="inlineStr">
        <is>
          <t>D2C구독</t>
        </is>
      </c>
      <c r="J22" s="25" t="inlineStr">
        <is>
          <t>맞춤형화장품,피부측정</t>
        </is>
      </c>
      <c r="K22" s="25" t="inlineStr">
        <is>
          <t>28일주기정기배송</t>
        </is>
      </c>
      <c r="L22" s="25" t="inlineStr">
        <is>
          <t>Subscription(구독형)</t>
        </is>
      </c>
      <c r="M22" s="25" t="inlineStr">
        <is>
          <t>2016년 설립, 개인별 피부측정 기반 맞춤형 화장품 배송, 아모레퍼시픽 투자 유치로 화제</t>
        </is>
      </c>
      <c r="N22" s="14" t="n">
        <v>46225</v>
      </c>
      <c r="O22" s="14" t="n">
        <v>46225</v>
      </c>
      <c r="P22" s="23">
        <f>IF(L22="","",C22&amp;"|"&amp;D22&amp;"|"&amp;H22&amp;"|"&amp;I22&amp;"|"&amp;L22)</f>
        <v/>
      </c>
      <c r="Q22" s="23">
        <f>IF(P22="",0,IF(COUNTIF($P$2:P22,P22)=1,1,0))</f>
        <v/>
      </c>
      <c r="R22" s="23">
        <f>IF(Q22=1,SUM($Q$2:Q22),"")</f>
        <v/>
      </c>
      <c r="S22" s="15" t="inlineStr">
        <is>
          <t>가격대가 일반 시판 화장품보다 높은 편이라 가격 저항이 있고, 개인 피부측정 데이터 기반 맞춤 조제 방식은 대량생산 대비 생산·재고 관리가 까다로움</t>
        </is>
      </c>
      <c r="T22" s="15" t="inlineStr">
        <is>
          <t>맞춤형 화장품 정기배송 기준 세트당 약 3만~5만원대(28일 주기); 개별 제품(샴푸바 등)은 1.7만~2.5만원대</t>
        </is>
      </c>
    </row>
    <row r="23" ht="15.75" customHeight="1" s="42">
      <c r="A23" s="29" t="inlineStr">
        <is>
          <t>CP022</t>
        </is>
      </c>
      <c r="B23" s="25" t="inlineStr">
        <is>
          <t>룰루랩</t>
        </is>
      </c>
      <c r="C23" s="25" t="inlineStr">
        <is>
          <t>미용</t>
        </is>
      </c>
      <c r="D23" s="25" t="inlineStr">
        <is>
          <t>정보제공</t>
        </is>
      </c>
      <c r="E23" s="25" t="inlineStr">
        <is>
          <t>한국</t>
        </is>
      </c>
      <c r="F23" s="25" t="inlineStr">
        <is>
          <t>일반경쟁자</t>
        </is>
      </c>
      <c r="G23" s="25" t="inlineStr">
        <is>
          <t>생체지표</t>
        </is>
      </c>
      <c r="H23" s="25" t="inlineStr">
        <is>
          <t>전연령뷰티소비자</t>
        </is>
      </c>
      <c r="I23" s="25" t="inlineStr">
        <is>
          <t>디바이스+앱(오프라인매장배치)</t>
        </is>
      </c>
      <c r="J23" s="25" t="inlineStr">
        <is>
          <t>AI피부측정,맞춤솔루션제공</t>
        </is>
      </c>
      <c r="K23" s="25" t="inlineStr">
        <is>
          <t>제품큐레이션서비스</t>
        </is>
      </c>
      <c r="L23" s="25" t="inlineStr">
        <is>
          <t>Sensor As A Service(센서서비스)</t>
        </is>
      </c>
      <c r="M23" s="25" t="inlineStr">
        <is>
          <t>AI 피부진단 디바이스로 올리브영 등 매장에 배치, 진단데이터 기반 맞춤 화장품 추천 서비스 제공</t>
        </is>
      </c>
      <c r="N23" s="14" t="n">
        <v>46225</v>
      </c>
      <c r="O23" s="14" t="n">
        <v>46225</v>
      </c>
      <c r="P23" s="23">
        <f>IF(L23="","",C23&amp;"|"&amp;D23&amp;"|"&amp;H23&amp;"|"&amp;I23&amp;"|"&amp;L23)</f>
        <v/>
      </c>
      <c r="Q23" s="23">
        <f>IF(P23="",0,IF(COUNTIF($P$2:P23,P23)=1,1,0))</f>
        <v/>
      </c>
      <c r="R23" s="23">
        <f>IF(Q23=1,SUM($Q$2:Q23),"")</f>
        <v/>
      </c>
      <c r="S23" s="15" t="inlineStr">
        <is>
          <t>개인이 앱만으로 단독 이용할 수 없고 올리브영 등 제휴 매장 방문이 필요하며, 진단 결과가 해당 매장 취급 제품 추천으로 이어져 상업적 편향 가능성이 있음</t>
        </is>
      </c>
      <c r="T23" s="16" t="inlineStr">
        <is>
          <t>B2B 디바이스 배치·솔루션 계약형으로 소비자 대상 개별 결제 없음(매장 방문 시 무료 진단, 매출은 입점사·기업 계약 기반)</t>
        </is>
      </c>
    </row>
    <row r="24" ht="15.75" customHeight="1" s="42">
      <c r="A24" s="29" t="inlineStr">
        <is>
          <t>CP023</t>
        </is>
      </c>
      <c r="B24" s="25" t="inlineStr">
        <is>
          <t>여신티켓</t>
        </is>
      </c>
      <c r="C24" s="25" t="inlineStr">
        <is>
          <t>미용</t>
        </is>
      </c>
      <c r="D24" s="25" t="inlineStr">
        <is>
          <t>매칭연결</t>
        </is>
      </c>
      <c r="E24" s="25" t="inlineStr">
        <is>
          <t>한국</t>
        </is>
      </c>
      <c r="F24" s="25" t="inlineStr">
        <is>
          <t>일반경쟁자</t>
        </is>
      </c>
      <c r="G24" s="25" t="inlineStr">
        <is>
          <t>라이프스타일</t>
        </is>
      </c>
      <c r="H24" s="25" t="inlineStr">
        <is>
          <t>전연령뷰티소비자</t>
        </is>
      </c>
      <c r="I24" s="25" t="inlineStr">
        <is>
          <t>앱단독</t>
        </is>
      </c>
      <c r="J24" s="25" t="inlineStr">
        <is>
          <t>병원비교,예약,상담,후기</t>
        </is>
      </c>
      <c r="K24" s="25" t="inlineStr">
        <is>
          <t>AI 피부진단,맞춤추천</t>
        </is>
      </c>
      <c r="L24" s="25" t="inlineStr">
        <is>
          <t>Two-sided Market(양면시장)</t>
        </is>
      </c>
      <c r="M24" s="25" t="inlineStr">
        <is>
          <t>피부관리샵/네일샵 등 뷰티샵 예약 매칭 플랫폼</t>
        </is>
      </c>
      <c r="N24" s="14" t="n">
        <v>46225</v>
      </c>
      <c r="O24" s="14" t="n">
        <v>46225</v>
      </c>
      <c r="P24" s="23">
        <f>IF(L24="","",C24&amp;"|"&amp;D24&amp;"|"&amp;H24&amp;"|"&amp;I24&amp;"|"&amp;L24)</f>
        <v/>
      </c>
      <c r="Q24" s="23">
        <f>IF(P24="",0,IF(COUNTIF($P$2:P24,P24)=1,1,0))</f>
        <v/>
      </c>
      <c r="R24" s="23">
        <f>IF(Q24=1,SUM($Q$2:Q24),"")</f>
        <v/>
      </c>
      <c r="S24" s="15" t="inlineStr">
        <is>
          <t>강남언니·바비톡과 유사하게 제휴 병원 광고 노출 구조이며, 예약 시스템 특성상 실제 시술 여부와 후기 신뢰도를 이용자가 직접 확인해야 함</t>
        </is>
      </c>
      <c r="T24" s="15" t="inlineStr">
        <is>
          <t>앱 이용 무료; 병원 광고·예약 수수료 기반</t>
        </is>
      </c>
    </row>
    <row r="25" ht="15.75" customHeight="1" s="42">
      <c r="A25" s="29" t="inlineStr">
        <is>
          <t>CP024</t>
        </is>
      </c>
      <c r="B25" s="25" t="inlineStr">
        <is>
          <t>잼페이스</t>
        </is>
      </c>
      <c r="C25" s="25" t="inlineStr">
        <is>
          <t>미용</t>
        </is>
      </c>
      <c r="D25" s="25" t="inlineStr">
        <is>
          <t>정보제공</t>
        </is>
      </c>
      <c r="E25" s="25" t="inlineStr">
        <is>
          <t>한국</t>
        </is>
      </c>
      <c r="F25" s="25" t="inlineStr">
        <is>
          <t>일반경쟁자</t>
        </is>
      </c>
      <c r="G25" s="25" t="inlineStr">
        <is>
          <t>생체지표</t>
        </is>
      </c>
      <c r="H25" s="25" t="inlineStr">
        <is>
          <t>전연령뷰티소비자</t>
        </is>
      </c>
      <c r="I25" s="25" t="inlineStr">
        <is>
          <t>앱단독</t>
        </is>
      </c>
      <c r="J25" s="25" t="inlineStr">
        <is>
          <t>AI퍼스널컬러진단,가상메이크업,화장품검색/추천</t>
        </is>
      </c>
      <c r="K25" s="25" t="inlineStr">
        <is>
          <t>리뷰,맞춤추천,쇼핑연계</t>
        </is>
      </c>
      <c r="L25" s="25" t="inlineStr">
        <is>
          <t>Freemium(프리미엄)</t>
        </is>
      </c>
      <c r="M25" s="25" t="inlineStr">
        <is>
          <t>2018년 출시, 정기 랭킹/투표 기반 화장품 큐레이션 서비스</t>
        </is>
      </c>
      <c r="N25" s="14" t="n">
        <v>46225</v>
      </c>
      <c r="O25" s="14" t="n">
        <v>46225</v>
      </c>
      <c r="P25" s="23">
        <f>IF(L25="","",C25&amp;"|"&amp;D25&amp;"|"&amp;H25&amp;"|"&amp;I25&amp;"|"&amp;L25)</f>
        <v/>
      </c>
      <c r="Q25" s="23">
        <f>IF(P25="",0,IF(COUNTIF($P$2:P25,P25)=1,1,0))</f>
        <v/>
      </c>
      <c r="R25" s="23">
        <f>IF(Q25=1,SUM($Q$2:Q25),"")</f>
        <v/>
      </c>
      <c r="S25" s="16" t="inlineStr">
        <is>
          <t>AI 퍼스널컬러·피부진단이 카메라·조명 등 촬영 환경에 따라 정확도가 달라질 수 있고, 진단 결과가 협찬·광고 제품 추천으로 연결될 가능성이 있음</t>
        </is>
      </c>
      <c r="T25" s="15" t="inlineStr">
        <is>
          <t>앱 이용 무료; 화장품 매칭·광고 수익 기반</t>
        </is>
      </c>
    </row>
    <row r="26" ht="15.75" customHeight="1" s="42">
      <c r="A26" s="29" t="inlineStr">
        <is>
          <t>CP025</t>
        </is>
      </c>
      <c r="B26" s="17" t="inlineStr">
        <is>
          <t>마메드네(구 카카오헤어샵)</t>
        </is>
      </c>
      <c r="C26" s="17" t="inlineStr">
        <is>
          <t>미용</t>
        </is>
      </c>
      <c r="D26" s="17" t="inlineStr">
        <is>
          <t>매칭연결</t>
        </is>
      </c>
      <c r="E26" s="17" t="inlineStr">
        <is>
          <t>한국</t>
        </is>
      </c>
      <c r="F26" s="17" t="inlineStr">
        <is>
          <t>카테고리리더</t>
        </is>
      </c>
      <c r="G26" s="17" t="inlineStr">
        <is>
          <t>라이프스타일</t>
        </is>
      </c>
      <c r="H26" s="17" t="inlineStr">
        <is>
          <t>여성 전연령</t>
        </is>
      </c>
      <c r="I26" s="17" t="inlineStr">
        <is>
          <t>앱단독</t>
        </is>
      </c>
      <c r="J26" s="17" t="inlineStr">
        <is>
          <t>헤어샵예약,AI헤어시뮬레이션</t>
        </is>
      </c>
      <c r="K26" s="17" t="inlineStr">
        <is>
          <t>네일,왁싱,에스테틱 예약</t>
        </is>
      </c>
      <c r="L26" s="19" t="inlineStr">
        <is>
          <t>Self-service(셀프서비스)</t>
        </is>
      </c>
      <c r="M26" s="17" t="inlineStr">
        <is>
          <t>2016년 카카오헤어샵으로 출시, 2024년 스타트업 '글리티(Glity)'가 인수해 '마메드네'로 리브랜딩. AI 헤어 시뮬레이션으로 실제 디자이너 시술 포트폴리오 기반 스타일을 미리 확인 후 예약 가능</t>
        </is>
      </c>
      <c r="N26" s="20" t="n">
        <v>46243</v>
      </c>
      <c r="O26" s="20" t="n">
        <v>46243</v>
      </c>
      <c r="P26" s="15" t="inlineStr">
        <is>
          <t>예약 시스템을 도입한 매장 자체가 아직 많지 않아 이용 가능 지역·매장이 제한적이고, 실제 방문 시 이벤트 쿠폰 외 시술 가격은 저렴하지 않다는 이용자 불만이 있음</t>
        </is>
      </c>
      <c r="Q26" s="15" t="inlineStr">
        <is>
          <t>앱 이용(고객용) 무료; 실제 시술 요금은 매장별 상이하며 회원 전용 월간 쿠폰으로 할인 제공</t>
        </is>
      </c>
      <c r="R26" s="23">
        <f>IF(Q26=1,SUM($Q$2:Q26),"")</f>
        <v/>
      </c>
      <c r="S26" s="15" t="inlineStr">
        <is>
          <t>예약 시스템을 도입한 매장 자체가 아직 많지 않아 이용 가능 지역·매장이 제한적이고, 실제 방문 시 이벤트 쿠폰 외 시술 가격은 저렴하지 않다는 이용자 불만이 있음</t>
        </is>
      </c>
      <c r="T26" s="15" t="inlineStr">
        <is>
          <t>앱 이용(고객용) 무료; 실제 시술 요금은 매장별 상이하며 회원 전용 월간 쿠폰으로 할인 제공</t>
        </is>
      </c>
    </row>
    <row r="27" ht="15.75" customHeight="1" s="42">
      <c r="A27" s="29" t="inlineStr">
        <is>
          <t>CP026</t>
        </is>
      </c>
      <c r="B27" s="25" t="inlineStr">
        <is>
          <t>Sephora</t>
        </is>
      </c>
      <c r="C27" s="25" t="inlineStr">
        <is>
          <t>미용</t>
        </is>
      </c>
      <c r="D27" s="25" t="inlineStr">
        <is>
          <t>매칭연결</t>
        </is>
      </c>
      <c r="E27" s="25" t="inlineStr">
        <is>
          <t>미국</t>
        </is>
      </c>
      <c r="F27" s="25" t="inlineStr">
        <is>
          <t>플랫폼</t>
        </is>
      </c>
      <c r="G27" s="25" t="inlineStr">
        <is>
          <t>라이프스타일</t>
        </is>
      </c>
      <c r="H27" s="25" t="inlineStr">
        <is>
          <t>전연령뷰티소비자</t>
        </is>
      </c>
      <c r="I27" s="25" t="inlineStr">
        <is>
          <t>앱단독</t>
        </is>
      </c>
      <c r="J27" s="25" t="inlineStr">
        <is>
          <t>화장품검색/쇼핑, 리뷰,가상메이크업,상담</t>
        </is>
      </c>
      <c r="K27" s="25" t="inlineStr">
        <is>
          <t>AI맞춤추천,뷰티클래스</t>
        </is>
      </c>
      <c r="L27" s="25" t="inlineStr">
        <is>
          <t>Two-sided Market(양면시장)</t>
        </is>
      </c>
      <c r="M27" s="25" t="inlineStr">
        <is>
          <t>뷰티 커머스 + 로열티 플랫폼</t>
        </is>
      </c>
      <c r="N27" s="14" t="n">
        <v>46225</v>
      </c>
      <c r="O27" s="14" t="n">
        <v>46225</v>
      </c>
      <c r="P27" s="23">
        <f>IF(L27="","",C27&amp;"|"&amp;D27&amp;"|"&amp;H27&amp;"|"&amp;I27&amp;"|"&amp;L27)</f>
        <v/>
      </c>
      <c r="Q27" s="23">
        <f>IF(P27="",0,IF(COUNTIF($P$2:P27,P27)=1,1,0))</f>
        <v/>
      </c>
      <c r="R27" s="23">
        <f>IF(Q27=1,SUM($Q$2:Q27),"")</f>
        <v/>
      </c>
      <c r="S27" s="15" t="inlineStr">
        <is>
          <t>한국 시장에서는 코로나19와 올리브영 등 경쟁에 밀려 2024년 5월 오프라인 매장·온라인몰·앱을 모두 철수했으며, 이후 국내 이용자는 해외(미국 등) 계정과 배송으로만 접근 가능함</t>
        </is>
      </c>
      <c r="T27" s="15" t="inlineStr">
        <is>
          <t>앱 이용 무료; 로열티 프로그램(Beauty Insider) 무료 가입, 등급별 혜택 차등, 상품은 개별 구매가</t>
        </is>
      </c>
    </row>
    <row r="28" ht="15.75" customHeight="1" s="42">
      <c r="A28" s="29" t="inlineStr">
        <is>
          <t>CP027</t>
        </is>
      </c>
      <c r="B28" s="25" t="inlineStr">
        <is>
          <t>Musely</t>
        </is>
      </c>
      <c r="C28" s="25" t="inlineStr">
        <is>
          <t>미용</t>
        </is>
      </c>
      <c r="D28" s="25" t="inlineStr">
        <is>
          <t>개입치료</t>
        </is>
      </c>
      <c r="E28" s="25" t="inlineStr">
        <is>
          <t>미국</t>
        </is>
      </c>
      <c r="F28" s="25" t="inlineStr">
        <is>
          <t>일반경쟁자</t>
        </is>
      </c>
      <c r="G28" s="25" t="inlineStr">
        <is>
          <t>라이프스타일</t>
        </is>
      </c>
      <c r="H28" s="25" t="inlineStr">
        <is>
          <t>피부트러블여성</t>
        </is>
      </c>
      <c r="I28" s="25" t="inlineStr">
        <is>
          <t>원격진료연계</t>
        </is>
      </c>
      <c r="J28" s="25" t="inlineStr">
        <is>
          <t>AI피부분석,처방연계</t>
        </is>
      </c>
      <c r="K28" s="25" t="inlineStr">
        <is>
          <t>AI기반맞춤스킨케어루틴추천,피부관리콘텐츠</t>
        </is>
      </c>
      <c r="L28" s="25" t="inlineStr">
        <is>
          <t>Subscription(구독형)</t>
        </is>
      </c>
      <c r="M28" s="25" t="inlineStr">
        <is>
          <t>AI 피부분석 후 처방 연계형 스킨케어</t>
        </is>
      </c>
      <c r="N28" s="14" t="n">
        <v>46225</v>
      </c>
      <c r="O28" s="14" t="n">
        <v>46225</v>
      </c>
      <c r="P28" s="23">
        <f>IF(L28="","",C28&amp;"|"&amp;D28&amp;"|"&amp;H28&amp;"|"&amp;I28&amp;"|"&amp;L28)</f>
        <v/>
      </c>
      <c r="Q28" s="23">
        <f>IF(P28="",0,IF(COUNTIF($P$2:P28,P28)=1,1,0))</f>
        <v/>
      </c>
      <c r="R28" s="23">
        <f>IF(Q28=1,SUM($Q$2:Q28),"")</f>
        <v/>
      </c>
      <c r="S28" s="15" t="inlineStr">
        <is>
          <t>미국 원격의료 규제 하에서 운영되는 서비스로 한국에서는 정식 이용이 불가능하며, 처방 연계 스킨케어는 의사의 원격 진단 결과에 의존함</t>
        </is>
      </c>
      <c r="T28" s="15" t="inlineStr">
        <is>
          <t>앱 이용 무료; AI 피부분석 후 처방이 필요하면 원격진료·처방 스킨케어 비용이 별도 발생(미국 기준 월 구독형)</t>
        </is>
      </c>
    </row>
    <row r="29" ht="15.75" customHeight="1" s="42">
      <c r="A29" s="29" t="inlineStr">
        <is>
          <t>CP028</t>
        </is>
      </c>
      <c r="B29" s="25" t="inlineStr">
        <is>
          <t>마인드카페</t>
        </is>
      </c>
      <c r="C29" s="25" t="inlineStr">
        <is>
          <t>정신건강</t>
        </is>
      </c>
      <c r="D29" s="25" t="inlineStr">
        <is>
          <t>매칭연결</t>
        </is>
      </c>
      <c r="E29" s="25" t="inlineStr">
        <is>
          <t>한국</t>
        </is>
      </c>
      <c r="F29" s="25" t="inlineStr">
        <is>
          <t>카테고리리더</t>
        </is>
      </c>
      <c r="G29" s="25" t="inlineStr">
        <is>
          <t>라이프스타일</t>
        </is>
      </c>
      <c r="H29" s="25" t="inlineStr">
        <is>
          <t>개인,기업임직원</t>
        </is>
      </c>
      <c r="I29" s="25" t="inlineStr">
        <is>
          <t>심리상담/멘탈케어 플랫폼</t>
        </is>
      </c>
      <c r="J29" s="25" t="inlineStr">
        <is>
          <t>심리상담,코칭,EAP</t>
        </is>
      </c>
      <c r="K29" s="25" t="inlineStr">
        <is>
          <t>익명커뮤니티,심리검사,온오프라인상담</t>
        </is>
      </c>
      <c r="L29" s="25" t="inlineStr">
        <is>
          <t>Two-sided Market(양면시장)</t>
        </is>
      </c>
      <c r="M29" s="25" t="inlineStr">
        <is>
          <t>국내 대표 멘탈케어 플랫폼, 개인 상담과 기업 EAP 모두 운영</t>
        </is>
      </c>
      <c r="N29" s="14" t="n">
        <v>46225</v>
      </c>
      <c r="O29" s="14" t="n">
        <v>46225</v>
      </c>
      <c r="P29" s="23" t="inlineStr">
        <is>
          <t>정신건강|매칭연결|개인,기업임직원|심리상담/멘탈케어 플랫폼|Two-sided Market(양면시장)</t>
        </is>
      </c>
      <c r="Q29" s="23" t="n">
        <v>1</v>
      </c>
      <c r="R29" s="23" t="n">
        <v>25</v>
      </c>
      <c r="S29" s="38" t="inlineStr">
        <is>
          <t>상담 품질과 결과가 상담사 역량 및 매칭 적합도에 크게 좌우되며, 상담 이용료가 누적되면 비용 부담이 커질 수 있음</t>
        </is>
      </c>
      <c r="T29" s="38" t="inlineStr">
        <is>
          <t>온라인 심리상담 1회기 43,000원부터; 코칭상담 1회기 40,000원부터; 심리검사·해석상담 25,000~75,000원; 오프라인·검사 상품별 상이</t>
        </is>
      </c>
    </row>
    <row r="30" ht="15.75" customHeight="1" s="42">
      <c r="A30" s="29" t="inlineStr">
        <is>
          <t>CP029</t>
        </is>
      </c>
      <c r="B30" s="25" t="inlineStr">
        <is>
          <t>트로스트</t>
        </is>
      </c>
      <c r="C30" s="25" t="inlineStr">
        <is>
          <t>정신건강</t>
        </is>
      </c>
      <c r="D30" s="25" t="inlineStr">
        <is>
          <t>매칭연결</t>
        </is>
      </c>
      <c r="E30" s="25" t="inlineStr">
        <is>
          <t>한국</t>
        </is>
      </c>
      <c r="F30" s="25" t="inlineStr">
        <is>
          <t>일반경쟁자</t>
        </is>
      </c>
      <c r="G30" s="25" t="inlineStr">
        <is>
          <t>라이프스타일</t>
        </is>
      </c>
      <c r="H30" s="25" t="inlineStr">
        <is>
          <t>개인</t>
        </is>
      </c>
      <c r="I30" s="25" t="inlineStr">
        <is>
          <t>비대면 심리상담 앱</t>
        </is>
      </c>
      <c r="J30" s="25" t="inlineStr">
        <is>
          <t>심리상담,심리검사,명상</t>
        </is>
      </c>
      <c r="K30" s="25" t="inlineStr">
        <is>
          <t>상담사매칭,커뮤니티,텍스트상담</t>
        </is>
      </c>
      <c r="L30" s="25" t="inlineStr">
        <is>
          <t>Two-sided Market(양면시장)</t>
        </is>
      </c>
      <c r="M30" s="25" t="inlineStr">
        <is>
          <t>국내 비대면 심리상담 앱, 상담사 매칭과 심리검사 제공</t>
        </is>
      </c>
      <c r="N30" s="14" t="n">
        <v>46225</v>
      </c>
      <c r="O30" s="14" t="n">
        <v>46225</v>
      </c>
      <c r="P30" s="23" t="inlineStr">
        <is>
          <t>정신건강|매칭연결|개인|비대면 심리상담 앱|Two-sided Market(양면시장)</t>
        </is>
      </c>
      <c r="Q30" s="23" t="n">
        <v>1</v>
      </c>
      <c r="R30" s="23" t="n">
        <v>26</v>
      </c>
      <c r="S30" s="38" t="inlineStr">
        <is>
          <t>비대면 상담 중심이라 대면 상담 대비 관계 형성과 비언어적 정보 전달에 한계가 있으며, 상담사별 가격과 품질 편차가 존재함</t>
        </is>
      </c>
      <c r="T30" s="38" t="inlineStr">
        <is>
          <t>텍스트 테라피 1일권 15,000원, 7일권 40,000원, 30일권 100,000원, 90일권 240,000원; 전화상담 30분 40,000원; 화상상담 30분 50,000원</t>
        </is>
      </c>
    </row>
    <row r="31" ht="15.75" customHeight="1" s="42">
      <c r="A31" s="29" t="inlineStr">
        <is>
          <t>CP030</t>
        </is>
      </c>
      <c r="B31" s="25" t="inlineStr">
        <is>
          <t>마보</t>
        </is>
      </c>
      <c r="C31" s="25" t="inlineStr">
        <is>
          <t>정신건강</t>
        </is>
      </c>
      <c r="D31" s="25" t="inlineStr">
        <is>
          <t>정보제공</t>
        </is>
      </c>
      <c r="E31" s="25" t="inlineStr">
        <is>
          <t>한국</t>
        </is>
      </c>
      <c r="F31" s="25" t="inlineStr">
        <is>
          <t>카테고리리더</t>
        </is>
      </c>
      <c r="G31" s="25" t="inlineStr">
        <is>
          <t>라이프스타일</t>
        </is>
      </c>
      <c r="H31" s="25" t="inlineStr">
        <is>
          <t>개인,기업임직원</t>
        </is>
      </c>
      <c r="I31" s="25" t="inlineStr">
        <is>
          <t>명상/마음챙김 앱</t>
        </is>
      </c>
      <c r="J31" s="25" t="inlineStr">
        <is>
          <t>명상,마음챙김,스트레스관리</t>
        </is>
      </c>
      <c r="K31" s="25" t="inlineStr">
        <is>
          <t>수면,불안,번아웃,EAP</t>
        </is>
      </c>
      <c r="L31" s="25" t="inlineStr">
        <is>
          <t>Subscription(구독형)</t>
        </is>
      </c>
      <c r="M31" s="25" t="inlineStr">
        <is>
          <t>국내 마음챙김 명상 앱, B2C 구독과 기업 EAP 모델 운영</t>
        </is>
      </c>
      <c r="N31" s="14" t="n">
        <v>46225</v>
      </c>
      <c r="O31" s="14" t="n">
        <v>46225</v>
      </c>
      <c r="P31" s="23" t="inlineStr">
        <is>
          <t>정신건강|정보제공|개인,기업임직원|명상/마음챙김 앱|Subscription(구독형)</t>
        </is>
      </c>
      <c r="Q31" s="23" t="n">
        <v>1</v>
      </c>
      <c r="R31" s="23" t="n">
        <v>27</v>
      </c>
      <c r="S31" s="38" t="inlineStr">
        <is>
          <t>명상 콘텐츠와 자기관리 중심 서비스로, 중증 정신건강 문제나 전문적인 치료·진단을 대체하기 어려움</t>
        </is>
      </c>
      <c r="T31" s="38" t="inlineStr">
        <is>
          <t>7일 무료체험 후 정기구독; 월 5,900원, 3개월 17,500원, 6개월 29,000원, 12개월 47,000원; 앱스토어 기준</t>
        </is>
      </c>
    </row>
    <row r="32" ht="15.75" customHeight="1" s="42">
      <c r="A32" s="29" t="inlineStr">
        <is>
          <t>CP031</t>
        </is>
      </c>
      <c r="B32" s="25" t="inlineStr">
        <is>
          <t>코끼리</t>
        </is>
      </c>
      <c r="C32" s="25" t="inlineStr">
        <is>
          <t>정신건강</t>
        </is>
      </c>
      <c r="D32" s="25" t="inlineStr">
        <is>
          <t>정보제공</t>
        </is>
      </c>
      <c r="E32" s="25" t="inlineStr">
        <is>
          <t>한국</t>
        </is>
      </c>
      <c r="F32" s="25" t="inlineStr">
        <is>
          <t>일반경쟁자</t>
        </is>
      </c>
      <c r="G32" s="25" t="inlineStr">
        <is>
          <t>라이프스타일</t>
        </is>
      </c>
      <c r="H32" s="25" t="inlineStr">
        <is>
          <t>개인</t>
        </is>
      </c>
      <c r="I32" s="25" t="inlineStr">
        <is>
          <t>수면/명상 콘텐츠 앱</t>
        </is>
      </c>
      <c r="J32" s="25" t="inlineStr">
        <is>
          <t>명상,수면,ASMR</t>
        </is>
      </c>
      <c r="K32" s="25" t="inlineStr">
        <is>
          <t>힐링콘텐츠,마음챙김,수면관리</t>
        </is>
      </c>
      <c r="L32" s="25" t="inlineStr">
        <is>
          <t>Freemium(프리미엄)</t>
        </is>
      </c>
      <c r="M32" s="25" t="inlineStr">
        <is>
          <t>국내 수면·명상 콘텐츠 앱, 아토머스가 인수해 마인드카페와 연계 가능</t>
        </is>
      </c>
      <c r="N32" s="14" t="n">
        <v>46225</v>
      </c>
      <c r="O32" s="14" t="n">
        <v>46225</v>
      </c>
      <c r="P32" s="23" t="inlineStr">
        <is>
          <t>정신건강|정보제공|개인|수면/명상 콘텐츠 앱|Freemium(프리미엄)</t>
        </is>
      </c>
      <c r="Q32" s="23" t="n">
        <v>1</v>
      </c>
      <c r="R32" s="23" t="n">
        <v>28</v>
      </c>
      <c r="S32" s="38" t="inlineStr">
        <is>
          <t>콘텐츠 소비와 자기관리 중심이라 개인별 상담이나 임상적 개입이 부족하며, 유료 콘텐츠 이용을 위해 구독이 필요할 수 있음</t>
        </is>
      </c>
      <c r="T32" s="38" t="inlineStr">
        <is>
          <t>일부 콘텐츠 무료 제공; 유료 콘텐츠·구독형 이용권 제공; 정확한 최신 요금은 앱 결제 화면 확인 필요</t>
        </is>
      </c>
    </row>
    <row r="33" ht="15.75" customHeight="1" s="42">
      <c r="A33" s="29" t="inlineStr">
        <is>
          <t>CP032</t>
        </is>
      </c>
      <c r="B33" s="25" t="inlineStr">
        <is>
          <t>하루콩</t>
        </is>
      </c>
      <c r="C33" s="25" t="inlineStr">
        <is>
          <t>정신건강</t>
        </is>
      </c>
      <c r="D33" s="25" t="inlineStr">
        <is>
          <t>데이터기록관리</t>
        </is>
      </c>
      <c r="E33" s="25" t="inlineStr">
        <is>
          <t>한국</t>
        </is>
      </c>
      <c r="F33" s="25" t="inlineStr">
        <is>
          <t>카테고리리더</t>
        </is>
      </c>
      <c r="G33" s="25" t="inlineStr">
        <is>
          <t>라이프스타일</t>
        </is>
      </c>
      <c r="H33" s="25" t="inlineStr">
        <is>
          <t>개인</t>
        </is>
      </c>
      <c r="I33" s="25" t="inlineStr">
        <is>
          <t>감정 기록 앱</t>
        </is>
      </c>
      <c r="J33" s="25" t="inlineStr">
        <is>
          <t>감정기록,무드트래킹,일기</t>
        </is>
      </c>
      <c r="K33" s="25" t="inlineStr">
        <is>
          <t>감정리포트,습관기록,자가이해</t>
        </is>
      </c>
      <c r="L33" s="25" t="inlineStr">
        <is>
          <t>Freemium(프리미엄)</t>
        </is>
      </c>
      <c r="M33" s="25" t="inlineStr">
        <is>
          <t>블루시그넘의 감정 기록 앱, 감정 데이터를 기반으로 자기이해 지원</t>
        </is>
      </c>
      <c r="N33" s="14" t="n">
        <v>46225</v>
      </c>
      <c r="O33" s="14" t="n">
        <v>46225</v>
      </c>
      <c r="P33" s="23" t="inlineStr">
        <is>
          <t>정신건강|데이터기록관리|개인|감정 기록 앱|Freemium(프리미엄)</t>
        </is>
      </c>
      <c r="Q33" s="23" t="n">
        <v>1</v>
      </c>
      <c r="R33" s="23" t="n">
        <v>29</v>
      </c>
      <c r="S33" s="38" t="inlineStr">
        <is>
          <t>감정과 활동을 기록하는 데 초점이 있어 기록만으로 문제 해결이나 전문적인 심리 개입까지 이어지기 어려움</t>
        </is>
      </c>
      <c r="T33" s="38" t="inlineStr">
        <is>
          <t>기본 기록 기능 무료; 일부 기능·콘텐츠의 유료 여부 및 최신 요금은 앱스토어 확인 필요</t>
        </is>
      </c>
    </row>
    <row r="34" ht="15.75" customHeight="1" s="42">
      <c r="A34" s="29" t="inlineStr">
        <is>
          <t>CP033</t>
        </is>
      </c>
      <c r="B34" s="25" t="inlineStr">
        <is>
          <t>무디</t>
        </is>
      </c>
      <c r="C34" s="25" t="inlineStr">
        <is>
          <t>정신건강</t>
        </is>
      </c>
      <c r="D34" s="25" t="inlineStr">
        <is>
          <t>개입치료</t>
        </is>
      </c>
      <c r="E34" s="25" t="inlineStr">
        <is>
          <t>한국</t>
        </is>
      </c>
      <c r="F34" s="25" t="inlineStr">
        <is>
          <t>일반경쟁자</t>
        </is>
      </c>
      <c r="G34" s="25" t="inlineStr">
        <is>
          <t>라이프스타일</t>
        </is>
      </c>
      <c r="H34" s="25" t="inlineStr">
        <is>
          <t>개인</t>
        </is>
      </c>
      <c r="I34" s="25" t="inlineStr">
        <is>
          <t>AI 감정 가이드 앱</t>
        </is>
      </c>
      <c r="J34" s="25" t="inlineStr">
        <is>
          <t>감정관리,AI가이드,심리퀘스트</t>
        </is>
      </c>
      <c r="K34" s="25" t="inlineStr">
        <is>
          <t>감정태그,트레이닝,스토리콘텐츠</t>
        </is>
      </c>
      <c r="L34" s="25" t="inlineStr">
        <is>
          <t>Freemium(프리미엄)</t>
        </is>
      </c>
      <c r="M34" s="25" t="inlineStr">
        <is>
          <t>블루시그넘의 감정 관리 앱, 감정별 퀘스트와 사고방식 훈련 제공</t>
        </is>
      </c>
      <c r="N34" s="14" t="n">
        <v>46225</v>
      </c>
      <c r="O34" s="14" t="n">
        <v>46225</v>
      </c>
      <c r="P34" s="23" t="inlineStr">
        <is>
          <t>정신건강|개입치료|개인|AI 감정 가이드 앱|Freemium(프리미엄)</t>
        </is>
      </c>
      <c r="Q34" s="23" t="n">
        <v>1</v>
      </c>
      <c r="R34" s="23" t="n">
        <v>30</v>
      </c>
      <c r="S34" s="38" t="inlineStr">
        <is>
          <t>AI가 제공하는 감정 가이드는 전문 상담이나 치료를 대체할 수 없으며, 입력 내용에 따라 추천의 정확도와 적합도가 달라질 수 있음</t>
        </is>
      </c>
      <c r="T34" s="38" t="inlineStr">
        <is>
          <t>기본 기능 무료 또는 인앱결제 제공; 정확한 유료 기능과 요금은 앱스토어 확인 필요</t>
        </is>
      </c>
    </row>
    <row r="35" ht="15.75" customHeight="1" s="42">
      <c r="A35" s="29" t="inlineStr">
        <is>
          <t>CP034</t>
        </is>
      </c>
      <c r="B35" s="25" t="inlineStr">
        <is>
          <t>마인들링</t>
        </is>
      </c>
      <c r="C35" s="25" t="inlineStr">
        <is>
          <t>정신건강</t>
        </is>
      </c>
      <c r="D35" s="25" t="inlineStr">
        <is>
          <t>개입치료</t>
        </is>
      </c>
      <c r="E35" s="25" t="inlineStr">
        <is>
          <t>한국</t>
        </is>
      </c>
      <c r="F35" s="25" t="inlineStr">
        <is>
          <t>일반경쟁자</t>
        </is>
      </c>
      <c r="G35" s="25" t="inlineStr">
        <is>
          <t>라이프스타일</t>
        </is>
      </c>
      <c r="H35" s="25" t="inlineStr">
        <is>
          <t>개인</t>
        </is>
      </c>
      <c r="I35" s="25" t="inlineStr">
        <is>
          <t>마인드케어 앱</t>
        </is>
      </c>
      <c r="J35" s="25" t="inlineStr">
        <is>
          <t>마음관리,자가관리,심리콘텐츠</t>
        </is>
      </c>
      <c r="K35" s="25" t="inlineStr">
        <is>
          <t>맞춤케어,정서관리,스트레스관리</t>
        </is>
      </c>
      <c r="L35" s="25" t="inlineStr">
        <is>
          <t>Subscription(구독형)</t>
        </is>
      </c>
      <c r="M35" s="25" t="inlineStr">
        <is>
          <t>개인 맞춤형 마인드케어 앱으로 분류 가능</t>
        </is>
      </c>
      <c r="N35" s="14" t="n">
        <v>46225</v>
      </c>
      <c r="O35" s="14" t="n">
        <v>46225</v>
      </c>
      <c r="P35" s="23" t="inlineStr">
        <is>
          <t>정신건강|개입치료|개인|마인드케어 앱|Subscription(구독형)</t>
        </is>
      </c>
      <c r="Q35" s="23" t="n">
        <v>1</v>
      </c>
      <c r="R35" s="23" t="n">
        <v>31</v>
      </c>
      <c r="S35" s="38" t="inlineStr">
        <is>
          <t>자가관리와 콘텐츠 중심 서비스로 위기 상황이나 복합적인 정신건강 문제에 대한 전문적 대응이 제한될 수 있음</t>
        </is>
      </c>
      <c r="T35" s="38" t="inlineStr">
        <is>
          <t>구독형 서비스로 분류; 월·연 구독료와 무료체험 여부는 최신 앱 결제 화면 확인 필요</t>
        </is>
      </c>
    </row>
    <row r="36" ht="15.75" customHeight="1" s="42">
      <c r="A36" s="29" t="inlineStr">
        <is>
          <t>CP035</t>
        </is>
      </c>
      <c r="B36" s="25" t="inlineStr">
        <is>
          <t>디스턴싱</t>
        </is>
      </c>
      <c r="C36" s="25" t="inlineStr">
        <is>
          <t>정신건강</t>
        </is>
      </c>
      <c r="D36" s="25" t="inlineStr">
        <is>
          <t>개입치료</t>
        </is>
      </c>
      <c r="E36" s="25" t="inlineStr">
        <is>
          <t>한국</t>
        </is>
      </c>
      <c r="F36" s="25" t="inlineStr">
        <is>
          <t>일반경쟁자</t>
        </is>
      </c>
      <c r="G36" s="25" t="inlineStr">
        <is>
          <t>라이프스타일</t>
        </is>
      </c>
      <c r="H36" s="25" t="inlineStr">
        <is>
          <t>개인</t>
        </is>
      </c>
      <c r="I36" s="25" t="inlineStr">
        <is>
          <t>비약물 심리치료 앱</t>
        </is>
      </c>
      <c r="J36" s="25" t="inlineStr">
        <is>
          <t>심리치료,자가개입,마음관리</t>
        </is>
      </c>
      <c r="K36" s="25" t="inlineStr">
        <is>
          <t>불안,우울,비약물치료,자가훈련</t>
        </is>
      </c>
      <c r="L36" s="25" t="inlineStr">
        <is>
          <t>Subscription(구독형)</t>
        </is>
      </c>
      <c r="M36" s="25" t="inlineStr">
        <is>
          <t>비약물 심리치료·자가개입형 서비스로 PREP의 개입치료 축 참고 가능</t>
        </is>
      </c>
      <c r="N36" s="14" t="n">
        <v>46225</v>
      </c>
      <c r="O36" s="14" t="n">
        <v>46225</v>
      </c>
      <c r="P36" s="23" t="inlineStr">
        <is>
          <t>정신건강|개입치료|개인|비약물 심리치료 앱|Subscription(구독형)</t>
        </is>
      </c>
      <c r="Q36" s="23" t="n">
        <v>1</v>
      </c>
      <c r="R36" s="23" t="n">
        <v>32</v>
      </c>
      <c r="S36" s="38" t="inlineStr">
        <is>
          <t>비약물 자가개입 중심이어서 고위험 우울·불안이나 진단·처방이 필요한 이용자에게는 충분하지 않을 수 있음</t>
        </is>
      </c>
      <c r="T36" s="38" t="inlineStr">
        <is>
          <t>구독형 서비스로 분류; 정확한 월·연 요금은 공개 자료 추가 확인 필요</t>
        </is>
      </c>
    </row>
    <row r="37" ht="15.75" customHeight="1" s="42">
      <c r="A37" s="29" t="inlineStr">
        <is>
          <t>CP036</t>
        </is>
      </c>
      <c r="B37" s="25" t="inlineStr">
        <is>
          <t>네이버 엑스퍼트 심리상담</t>
        </is>
      </c>
      <c r="C37" s="25" t="inlineStr">
        <is>
          <t>정신건강</t>
        </is>
      </c>
      <c r="D37" s="25" t="inlineStr">
        <is>
          <t>매칭연결</t>
        </is>
      </c>
      <c r="E37" s="25" t="inlineStr">
        <is>
          <t>한국</t>
        </is>
      </c>
      <c r="F37" s="25" t="inlineStr">
        <is>
          <t>플랫폼</t>
        </is>
      </c>
      <c r="G37" s="25" t="inlineStr">
        <is>
          <t>라이프스타일</t>
        </is>
      </c>
      <c r="H37" s="25" t="inlineStr">
        <is>
          <t>개인</t>
        </is>
      </c>
      <c r="I37" s="25" t="inlineStr">
        <is>
          <t>전문가 상담 마켓플레이스</t>
        </is>
      </c>
      <c r="J37" s="25" t="inlineStr">
        <is>
          <t>전문가매칭,온라인상담,심리상담</t>
        </is>
      </c>
      <c r="K37" s="25" t="inlineStr">
        <is>
          <t>채팅상담,음성상담,영상상담</t>
        </is>
      </c>
      <c r="L37" s="25" t="inlineStr">
        <is>
          <t>Two-sided Market(양면시장)</t>
        </is>
      </c>
      <c r="M37" s="25" t="inlineStr">
        <is>
          <t>네이버 기반 전문가 상담 플랫폼, 심리상담 카테고리 포함</t>
        </is>
      </c>
      <c r="N37" s="14" t="n">
        <v>46225</v>
      </c>
      <c r="O37" s="14" t="n">
        <v>46225</v>
      </c>
      <c r="P37" s="23" t="inlineStr">
        <is>
          <t>정신건강|매칭연결|개인|전문가 상담 마켓플레이스|Two-sided Market(양면시장)</t>
        </is>
      </c>
      <c r="Q37" s="23" t="n">
        <v>1</v>
      </c>
      <c r="R37" s="23" t="n">
        <v>33</v>
      </c>
      <c r="S37" s="38" t="inlineStr">
        <is>
          <t>대형 플랫폼의 전문가 선택지는 넓지만 상담 품질과 전문성의 편차를 이용자가 직접 판단해야 함</t>
        </is>
      </c>
      <c r="T37" s="38" t="inlineStr">
        <is>
          <t>상담 전문가·상품별 개별 결제; 채팅·음성·영상 상담 가격은 전문가와 상품에 따라 상이</t>
        </is>
      </c>
    </row>
    <row r="38" ht="15.75" customHeight="1" s="42">
      <c r="A38" s="29" t="inlineStr">
        <is>
          <t>CP037</t>
        </is>
      </c>
      <c r="B38" s="25" t="inlineStr">
        <is>
          <t>퍼플웨일</t>
        </is>
      </c>
      <c r="C38" s="25" t="inlineStr">
        <is>
          <t>정신건강</t>
        </is>
      </c>
      <c r="D38" s="25" t="inlineStr">
        <is>
          <t>데이터기록관리</t>
        </is>
      </c>
      <c r="E38" s="25" t="inlineStr">
        <is>
          <t>한국</t>
        </is>
      </c>
      <c r="F38" s="25" t="inlineStr">
        <is>
          <t>일반경쟁자</t>
        </is>
      </c>
      <c r="G38" s="25" t="inlineStr">
        <is>
          <t>라이프스타일</t>
        </is>
      </c>
      <c r="H38" s="25" t="inlineStr">
        <is>
          <t>개인,환자</t>
        </is>
      </c>
      <c r="I38" s="25" t="inlineStr">
        <is>
          <t>신체화 장애 관리 서비스</t>
        </is>
      </c>
      <c r="J38" s="25" t="inlineStr">
        <is>
          <t>신체화장애,PHR,정신건강</t>
        </is>
      </c>
      <c r="K38" s="25" t="inlineStr">
        <is>
          <t>증상기록,자가관리,디지털케어</t>
        </is>
      </c>
      <c r="L38" s="25" t="inlineStr">
        <is>
          <t>Digitization(디지털전환)</t>
        </is>
      </c>
      <c r="M38" s="25" t="inlineStr">
        <is>
          <t>휴레이포지티브 포트폴리오 내 신체화 장애 관리 서비스</t>
        </is>
      </c>
      <c r="N38" s="14" t="n">
        <v>46225</v>
      </c>
      <c r="O38" s="14" t="n">
        <v>46225</v>
      </c>
      <c r="P38" s="23" t="inlineStr">
        <is>
          <t>정신건강|데이터기록관리|개인,환자|신체화 장애 관리 서비스|Digitization(디지털전환)</t>
        </is>
      </c>
      <c r="Q38" s="23" t="n">
        <v>1</v>
      </c>
      <c r="R38" s="23" t="n">
        <v>34</v>
      </c>
      <c r="S38" s="38" t="inlineStr">
        <is>
          <t>특정 신체화 증상 관리에 초점이 맞춰져 있어 일반적인 정신건강 관리나 다양한 질환으로의 확장성이 제한될 수 있음</t>
        </is>
      </c>
      <c r="T38" s="38" t="inlineStr">
        <is>
          <t>기관·서비스 계약 기반으로 추정; 개인 이용자용 공개 가격 확인 필요</t>
        </is>
      </c>
    </row>
    <row r="39" ht="15.75" customHeight="1" s="42">
      <c r="A39" s="29" t="inlineStr">
        <is>
          <t>CP038</t>
        </is>
      </c>
      <c r="B39" s="25" t="inlineStr">
        <is>
          <t>옴니핏 마인드케어</t>
        </is>
      </c>
      <c r="C39" s="25" t="inlineStr">
        <is>
          <t>정신건강</t>
        </is>
      </c>
      <c r="D39" s="25" t="inlineStr">
        <is>
          <t>데이터기록관리</t>
        </is>
      </c>
      <c r="E39" s="25" t="inlineStr">
        <is>
          <t>한국</t>
        </is>
      </c>
      <c r="F39" s="25" t="inlineStr">
        <is>
          <t>일반경쟁자</t>
        </is>
      </c>
      <c r="G39" s="25" t="inlineStr">
        <is>
          <t>생체지표</t>
        </is>
      </c>
      <c r="H39" s="25" t="inlineStr">
        <is>
          <t>개인,기관</t>
        </is>
      </c>
      <c r="I39" s="25" t="inlineStr">
        <is>
          <t>스트레스/두뇌건강 측정 솔루션</t>
        </is>
      </c>
      <c r="J39" s="25" t="inlineStr">
        <is>
          <t>스트레스측정,HRV,뇌파</t>
        </is>
      </c>
      <c r="K39" s="25" t="inlineStr">
        <is>
          <t>멘탈헬스트래커,생체신호,기관용</t>
        </is>
      </c>
      <c r="L39" s="25" t="inlineStr">
        <is>
          <t>Sensor As A Service(센서서비스)</t>
        </is>
      </c>
      <c r="M39" s="25" t="inlineStr">
        <is>
          <t>생체신호 기반 정신건강 상태 측정 솔루션으로 분류 가능</t>
        </is>
      </c>
      <c r="N39" s="14" t="n">
        <v>46225</v>
      </c>
      <c r="O39" s="14" t="n">
        <v>46225</v>
      </c>
      <c r="P39" s="23" t="inlineStr">
        <is>
          <t>정신건강|데이터기록관리|개인,기관|스트레스/두뇌건강 측정 솔루션|Sensor As A Service(센서서비스)</t>
        </is>
      </c>
      <c r="Q39" s="23" t="n">
        <v>1</v>
      </c>
      <c r="R39" s="23" t="n">
        <v>35</v>
      </c>
      <c r="S39" s="38" t="inlineStr">
        <is>
          <t>생체신호 측정 결과가 심리 상태를 완전히 설명하지 못하며, 측정 장비와 환경에 따라 결과가 달라질 수 있음</t>
        </is>
      </c>
      <c r="T39" s="38" t="inlineStr">
        <is>
          <t>기관·기업 대상 솔루션 계약형으로 추정; 장비·구축·이용 범위별 견적형, 공개 가격 미확인</t>
        </is>
      </c>
    </row>
    <row r="40" ht="15.75" customHeight="1" s="42">
      <c r="A40" s="29" t="inlineStr">
        <is>
          <t>CP039</t>
        </is>
      </c>
      <c r="B40" s="25" t="inlineStr">
        <is>
          <t>상담 오랑</t>
        </is>
      </c>
      <c r="C40" s="25" t="inlineStr">
        <is>
          <t>정신건강</t>
        </is>
      </c>
      <c r="D40" s="25" t="inlineStr">
        <is>
          <t>매칭연결</t>
        </is>
      </c>
      <c r="E40" s="25" t="inlineStr">
        <is>
          <t>한국</t>
        </is>
      </c>
      <c r="F40" s="25" t="inlineStr">
        <is>
          <t>일반경쟁자</t>
        </is>
      </c>
      <c r="G40" s="25" t="inlineStr">
        <is>
          <t>라이프스타일</t>
        </is>
      </c>
      <c r="H40" s="25" t="inlineStr">
        <is>
          <t>청년</t>
        </is>
      </c>
      <c r="I40" s="25" t="inlineStr">
        <is>
          <t>청년 마음건강 상담 서비스</t>
        </is>
      </c>
      <c r="J40" s="25" t="inlineStr">
        <is>
          <t>청년상담,마음건강,공공상담</t>
        </is>
      </c>
      <c r="K40" s="25" t="inlineStr">
        <is>
          <t>온라인상담,생활상담,1대1상담</t>
        </is>
      </c>
      <c r="L40" s="25" t="inlineStr">
        <is>
          <t>Self-service(셀프서비스)</t>
        </is>
      </c>
      <c r="M40" s="25" t="inlineStr">
        <is>
          <t>민간 기업은 아니지만 국내 청년 대상 마음건강 상담 접근 방식 참고용</t>
        </is>
      </c>
      <c r="N40" s="14" t="n">
        <v>46225</v>
      </c>
      <c r="O40" s="14" t="n">
        <v>46225</v>
      </c>
      <c r="P40" s="23" t="inlineStr">
        <is>
          <t>정신건강|매칭연결|청년|청년 마음건강 상담 서비스|Self-service(셀프서비스)</t>
        </is>
      </c>
      <c r="Q40" s="23" t="n">
        <v>1</v>
      </c>
      <c r="R40" s="23" t="n">
        <v>36</v>
      </c>
      <c r="S40" s="38" t="inlineStr">
        <is>
          <t>공공 상담 서비스로 대상·지역·운영시간에 제한이 있을 수 있으며, 전문 치료나 지속적인 임상 상담을 대체하지 않음</t>
        </is>
      </c>
      <c r="T40" s="38" t="inlineStr">
        <is>
          <t>청년 대상 공공 상담; 무료 상담 중심, 이용 조건·운영 지역별 상이</t>
        </is>
      </c>
    </row>
    <row r="41" ht="15.75" customHeight="1" s="42">
      <c r="A41" s="29" t="inlineStr">
        <is>
          <t>CP040</t>
        </is>
      </c>
      <c r="B41" s="25" t="inlineStr">
        <is>
          <t>카카오헬스케어 파스타</t>
        </is>
      </c>
      <c r="C41" s="25" t="inlineStr">
        <is>
          <t>만성질환</t>
        </is>
      </c>
      <c r="D41" s="25" t="inlineStr">
        <is>
          <t>데이터기록관리</t>
        </is>
      </c>
      <c r="E41" s="25" t="inlineStr">
        <is>
          <t>한국</t>
        </is>
      </c>
      <c r="F41" s="25" t="inlineStr">
        <is>
          <t>플랫폼</t>
        </is>
      </c>
      <c r="G41" s="25" t="inlineStr">
        <is>
          <t>생체지표</t>
        </is>
      </c>
      <c r="H41" s="25" t="inlineStr">
        <is>
          <t>개인,당뇨위험군,당뇨환자</t>
        </is>
      </c>
      <c r="I41" s="25" t="inlineStr">
        <is>
          <t>혈당/체중 관리 앱</t>
        </is>
      </c>
      <c r="J41" s="25" t="inlineStr">
        <is>
          <t>혈당관리,CGM,체중관리</t>
        </is>
      </c>
      <c r="K41" s="25" t="inlineStr">
        <is>
          <t>AI푸드샷,리포트,생활습관,의료진연계</t>
        </is>
      </c>
      <c r="L41" s="25" t="inlineStr">
        <is>
          <t>Freemium(프리미엄)</t>
        </is>
      </c>
      <c r="M41" s="25" t="inlineStr">
        <is>
          <t>카카오헬스케어의 CGM 연동 혈당 관리 및 체중 관리 서비스</t>
        </is>
      </c>
      <c r="N41" s="14" t="n">
        <v>46225</v>
      </c>
      <c r="O41" s="14" t="n">
        <v>46225</v>
      </c>
      <c r="P41" s="23" t="inlineStr">
        <is>
          <t>만성질환|데이터기록관리|개인,당뇨위험군,당뇨환자|혈당/체중 관리 앱|Freemium(프리미엄)</t>
        </is>
      </c>
      <c r="Q41" s="23" t="n">
        <v>1</v>
      </c>
      <c r="R41" s="23" t="n">
        <v>37</v>
      </c>
      <c r="S41" s="38" t="inlineStr">
        <is>
          <t>CGM과 생활데이터를 활용하려면 호환 기기나 지속적인 기록이 필요하며, 의료적 진단·치료를 대체하지 않음</t>
        </is>
      </c>
      <c r="T41" s="38" t="inlineStr">
        <is>
          <t>기본 앱 이용 및 기능별 과금 구조는 서비스 정책에 따라 상이; CGM 기기·센서 비용 별도 가능; 최신 가격 확인 필요</t>
        </is>
      </c>
    </row>
    <row r="42" ht="15.75" customHeight="1" s="42">
      <c r="A42" s="29" t="inlineStr">
        <is>
          <t>CP041</t>
        </is>
      </c>
      <c r="B42" s="25" t="inlineStr">
        <is>
          <t>닥터다이어리</t>
        </is>
      </c>
      <c r="C42" s="25" t="inlineStr">
        <is>
          <t>만성질환</t>
        </is>
      </c>
      <c r="D42" s="25" t="inlineStr">
        <is>
          <t>데이터기록관리</t>
        </is>
      </c>
      <c r="E42" s="25" t="inlineStr">
        <is>
          <t>한국</t>
        </is>
      </c>
      <c r="F42" s="25" t="inlineStr">
        <is>
          <t>카테고리리더</t>
        </is>
      </c>
      <c r="G42" s="25" t="inlineStr">
        <is>
          <t>생체지표</t>
        </is>
      </c>
      <c r="H42" s="25" t="inlineStr">
        <is>
          <t>개인,당뇨환자</t>
        </is>
      </c>
      <c r="I42" s="25" t="inlineStr">
        <is>
          <t>혈당/식단/체중 관리 앱</t>
        </is>
      </c>
      <c r="J42" s="25" t="inlineStr">
        <is>
          <t>당뇨,혈당,식단관리</t>
        </is>
      </c>
      <c r="K42" s="25" t="inlineStr">
        <is>
          <t>커뮤니티,만보기,체중,혈압</t>
        </is>
      </c>
      <c r="L42" s="25" t="inlineStr">
        <is>
          <t>Freemium(프리미엄)</t>
        </is>
      </c>
      <c r="M42" s="25" t="inlineStr">
        <is>
          <t>국내 당뇨·혈당 관리 커뮤니티형 건강관리 앱</t>
        </is>
      </c>
      <c r="N42" s="14" t="n">
        <v>46225</v>
      </c>
      <c r="O42" s="14" t="n">
        <v>46225</v>
      </c>
      <c r="P42" s="23" t="inlineStr">
        <is>
          <t>만성질환|데이터기록관리|개인,당뇨환자|혈당/식단/체중 관리 앱|Freemium(프리미엄)</t>
        </is>
      </c>
      <c r="Q42" s="23" t="n">
        <v>1</v>
      </c>
      <c r="R42" s="23" t="n">
        <v>38</v>
      </c>
      <c r="S42" s="38" t="inlineStr">
        <is>
          <t>당뇨 관리 커뮤니티와 기록 기능에 강점이 있으나, 커뮤니티 정보의 정확성과 개인별 의료적 적합성을 별도로 확인해야 함</t>
        </is>
      </c>
      <c r="T42" s="38" t="inlineStr">
        <is>
          <t>기본 건강기록·커뮤니티 무료 이용 가능; 일부 유료 기능·상품 여부와 최신 요금은 앱 확인 필요</t>
        </is>
      </c>
    </row>
    <row r="43" ht="15.75" customHeight="1" s="42">
      <c r="A43" s="29" t="inlineStr">
        <is>
          <t>CP042</t>
        </is>
      </c>
      <c r="B43" s="25" t="inlineStr">
        <is>
          <t>휴레이포지티브 Balance</t>
        </is>
      </c>
      <c r="C43" s="25" t="inlineStr">
        <is>
          <t>만성질환</t>
        </is>
      </c>
      <c r="D43" s="25" t="inlineStr">
        <is>
          <t>개입치료</t>
        </is>
      </c>
      <c r="E43" s="25" t="inlineStr">
        <is>
          <t>한국</t>
        </is>
      </c>
      <c r="F43" s="25" t="inlineStr">
        <is>
          <t>카테고리리더</t>
        </is>
      </c>
      <c r="G43" s="25" t="inlineStr">
        <is>
          <t>생체지표</t>
        </is>
      </c>
      <c r="H43" s="25" t="inlineStr">
        <is>
          <t>개인,기업임직원,만성질환자</t>
        </is>
      </c>
      <c r="I43" s="25" t="inlineStr">
        <is>
          <t>AI 건강관리 컴패니언 앱</t>
        </is>
      </c>
      <c r="J43" s="25" t="inlineStr">
        <is>
          <t>만성질환,혈당,혈압</t>
        </is>
      </c>
      <c r="K43" s="25" t="inlineStr">
        <is>
          <t>영양,활동,수면,정서,AI투두</t>
        </is>
      </c>
      <c r="L43" s="25" t="inlineStr">
        <is>
          <t>Subscription(구독형)</t>
        </is>
      </c>
      <c r="M43" s="25" t="inlineStr">
        <is>
          <t>혈당·혈압·영양·활동 등 라이프로그 기반 만성질환 관리</t>
        </is>
      </c>
      <c r="N43" s="14" t="n">
        <v>46225</v>
      </c>
      <c r="O43" s="14" t="n">
        <v>46225</v>
      </c>
      <c r="P43" s="23" t="inlineStr">
        <is>
          <t>만성질환|개입치료|개인,기업임직원,만성질환자|AI 건강관리 컴패니언 앱|Subscription(구독형)</t>
        </is>
      </c>
      <c r="Q43" s="23" t="n">
        <v>1</v>
      </c>
      <c r="R43" s="23" t="n">
        <v>39</v>
      </c>
      <c r="S43" s="38" t="inlineStr">
        <is>
          <t>다양한 건강 데이터를 통합하지만 사용자가 지속적으로 데이터를 입력·연동해야 하며, 개인별 의료 판단을 대체하지 않음</t>
        </is>
      </c>
      <c r="T43" s="38" t="inlineStr">
        <is>
          <t>구독형 또는 기업·기관 계약형으로 추정; 개인 구독료와 B2B 이용료 공개 자료 미확인</t>
        </is>
      </c>
    </row>
    <row r="44" ht="15.75" customHeight="1" s="42">
      <c r="A44" s="29" t="inlineStr">
        <is>
          <t>CP043</t>
        </is>
      </c>
      <c r="B44" s="25" t="inlineStr">
        <is>
          <t>아이쿱 DoctorVice</t>
        </is>
      </c>
      <c r="C44" s="25" t="inlineStr">
        <is>
          <t>만성질환</t>
        </is>
      </c>
      <c r="D44" s="25" t="inlineStr">
        <is>
          <t>매칭연결</t>
        </is>
      </c>
      <c r="E44" s="25" t="inlineStr">
        <is>
          <t>한국</t>
        </is>
      </c>
      <c r="F44" s="25" t="inlineStr">
        <is>
          <t>카테고리리더</t>
        </is>
      </c>
      <c r="G44" s="25" t="inlineStr">
        <is>
          <t>생체지표</t>
        </is>
      </c>
      <c r="H44" s="25" t="inlineStr">
        <is>
          <t>의료진,환자</t>
        </is>
      </c>
      <c r="I44" s="25" t="inlineStr">
        <is>
          <t>스마트 진료/환자 커뮤니케이션 플랫폼</t>
        </is>
      </c>
      <c r="J44" s="25" t="inlineStr">
        <is>
          <t>만성질환,의료진연계,진료지원</t>
        </is>
      </c>
      <c r="K44" s="25" t="inlineStr">
        <is>
          <t>환자교육,상담,CGM Live,데이터공유</t>
        </is>
      </c>
      <c r="L44" s="25" t="inlineStr">
        <is>
          <t>Subscription(구독형)</t>
        </is>
      </c>
      <c r="M44" s="25" t="inlineStr">
        <is>
          <t>의료진과 환자 간 질환 설명·상담·데이터 공유를 지원하는 플랫폼</t>
        </is>
      </c>
      <c r="N44" s="14" t="n">
        <v>46225</v>
      </c>
      <c r="O44" s="14" t="n">
        <v>46225</v>
      </c>
      <c r="P44" s="23" t="inlineStr">
        <is>
          <t>만성질환|매칭연결|의료진,환자|스마트 진료/환자 커뮤니케이션 플랫폼|Subscription(구독형)</t>
        </is>
      </c>
      <c r="Q44" s="23" t="n">
        <v>1</v>
      </c>
      <c r="R44" s="23" t="n">
        <v>40</v>
      </c>
      <c r="S44" s="38" t="inlineStr">
        <is>
          <t>의료진 참여와 기관 시스템 연동이 필요해 일반 소비자가 단독으로 이용하기 어렵고, 도입 기관에 따라 이용 범위가 달라질 수 있음</t>
        </is>
      </c>
      <c r="T44" s="38" t="inlineStr">
        <is>
          <t>의료기관·의료진 대상 계약형 서비스로 추정; 기관별 견적·계약 조건, 공개 가격 미확인</t>
        </is>
      </c>
    </row>
    <row r="45" ht="15.75" customHeight="1" s="42">
      <c r="A45" s="29" t="inlineStr">
        <is>
          <t>CP044</t>
        </is>
      </c>
      <c r="B45" s="25" t="inlineStr">
        <is>
          <t>엠서클 웰체크</t>
        </is>
      </c>
      <c r="C45" s="25" t="inlineStr">
        <is>
          <t>만성질환</t>
        </is>
      </c>
      <c r="D45" s="25" t="inlineStr">
        <is>
          <t>데이터기록관리</t>
        </is>
      </c>
      <c r="E45" s="25" t="inlineStr">
        <is>
          <t>한국</t>
        </is>
      </c>
      <c r="F45" s="25" t="inlineStr">
        <is>
          <t>일반경쟁자</t>
        </is>
      </c>
      <c r="G45" s="25" t="inlineStr">
        <is>
          <t>생체지표</t>
        </is>
      </c>
      <c r="H45" s="25" t="inlineStr">
        <is>
          <t>고혈압환자,당뇨환자,의료진</t>
        </is>
      </c>
      <c r="I45" s="25" t="inlineStr">
        <is>
          <t>일차의료 만성질환 관리 앱</t>
        </is>
      </c>
      <c r="J45" s="25" t="inlineStr">
        <is>
          <t>고혈압,당뇨,일차의료</t>
        </is>
      </c>
      <c r="K45" s="25" t="inlineStr">
        <is>
          <t>혈압기록,혈당기록,주치의공유,비대면진료</t>
        </is>
      </c>
      <c r="L45" s="25" t="inlineStr">
        <is>
          <t>Digitization(디지털전환)</t>
        </is>
      </c>
      <c r="M45" s="25" t="inlineStr">
        <is>
          <t>일차의료 만성질환관리사업과 연결된 혈압·혈당 기록/공유 앱</t>
        </is>
      </c>
      <c r="N45" s="14" t="n">
        <v>46225</v>
      </c>
      <c r="O45" s="14" t="n">
        <v>46225</v>
      </c>
      <c r="P45" s="23" t="inlineStr">
        <is>
          <t>만성질환|데이터기록관리|고혈압환자,당뇨환자,의료진|일차의료 만성질환 관리 앱|Digitization(디지털전환)</t>
        </is>
      </c>
      <c r="Q45" s="23" t="n">
        <v>1</v>
      </c>
      <c r="R45" s="23" t="n">
        <v>41</v>
      </c>
      <c r="S45" s="38" t="inlineStr">
        <is>
          <t>일차의료기관과의 연계가 전제되어 일반 소비자 단독 이용이 제한될 수 있으며, 의료진 참여 수준에 따라 활용도가 달라짐</t>
        </is>
      </c>
      <c r="T45" s="38" t="inlineStr">
        <is>
          <t>의료기관·공공사업 도입 및 계약형으로 추정; 환자 개인 이용료 공개 자료 미확인</t>
        </is>
      </c>
    </row>
    <row r="46" ht="15.75" customHeight="1" s="42">
      <c r="A46" s="29" t="inlineStr">
        <is>
          <t>CP045</t>
        </is>
      </c>
      <c r="B46" s="25" t="inlineStr">
        <is>
          <t>아이센스 케어센스 에어</t>
        </is>
      </c>
      <c r="C46" s="25" t="inlineStr">
        <is>
          <t>만성질환</t>
        </is>
      </c>
      <c r="D46" s="25" t="inlineStr">
        <is>
          <t>데이터기록관리</t>
        </is>
      </c>
      <c r="E46" s="25" t="inlineStr">
        <is>
          <t>한국</t>
        </is>
      </c>
      <c r="F46" s="25" t="inlineStr">
        <is>
          <t>카테고리리더</t>
        </is>
      </c>
      <c r="G46" s="25" t="inlineStr">
        <is>
          <t>생체지표</t>
        </is>
      </c>
      <c r="H46" s="25" t="inlineStr">
        <is>
          <t>당뇨환자</t>
        </is>
      </c>
      <c r="I46" s="25" t="inlineStr">
        <is>
          <t>연속혈당측정기/혈당관리 솔루션</t>
        </is>
      </c>
      <c r="J46" s="25" t="inlineStr">
        <is>
          <t>당뇨,CGM,혈당측정</t>
        </is>
      </c>
      <c r="K46" s="25" t="inlineStr">
        <is>
          <t>실시간혈당,센서,앱연동,자가관리</t>
        </is>
      </c>
      <c r="L46" s="25" t="inlineStr">
        <is>
          <t>Sensor As A Service(센서서비스)</t>
        </is>
      </c>
      <c r="M46" s="25" t="inlineStr">
        <is>
          <t>국내 기업 아이센스의 연속혈당측정기 및 혈당 관리 제품군</t>
        </is>
      </c>
      <c r="N46" s="14" t="n">
        <v>46225</v>
      </c>
      <c r="O46" s="14" t="n">
        <v>46225</v>
      </c>
      <c r="P46" s="23" t="inlineStr">
        <is>
          <t>만성질환|데이터기록관리|당뇨환자|연속혈당측정기/혈당관리 솔루션|Sensor As A Service(센서서비스)</t>
        </is>
      </c>
      <c r="Q46" s="23" t="n">
        <v>1</v>
      </c>
      <c r="R46" s="23" t="n">
        <v>42</v>
      </c>
      <c r="S46" s="38" t="inlineStr">
        <is>
          <t>CGM 센서 착용과 소모품 비용이 발생하며, 측정 데이터가 혈당 관리에 도움을 주더라도 의료진의 진료를 대체하지 않음</t>
        </is>
      </c>
      <c r="T46" s="38" t="inlineStr">
        <is>
          <t>센서·기기 구매형 또는 소모품 반복 구매형; 정확한 케어센스 에어 판매가와 보험·지원 여부는 판매처별 확인 필요</t>
        </is>
      </c>
    </row>
    <row r="47" ht="15.75" customHeight="1" s="42">
      <c r="A47" s="29" t="inlineStr">
        <is>
          <t>CP046</t>
        </is>
      </c>
      <c r="B47" s="25" t="inlineStr">
        <is>
          <t>인바디</t>
        </is>
      </c>
      <c r="C47" s="25" t="inlineStr">
        <is>
          <t>만성질환</t>
        </is>
      </c>
      <c r="D47" s="25" t="inlineStr">
        <is>
          <t>데이터기록관리</t>
        </is>
      </c>
      <c r="E47" s="25" t="inlineStr">
        <is>
          <t>한국</t>
        </is>
      </c>
      <c r="F47" s="25" t="inlineStr">
        <is>
          <t>플랫폼</t>
        </is>
      </c>
      <c r="G47" s="25" t="inlineStr">
        <is>
          <t>생체지표</t>
        </is>
      </c>
      <c r="H47" s="25" t="inlineStr">
        <is>
          <t>개인,병원,피트니스센터,주거단지</t>
        </is>
      </c>
      <c r="I47" s="25" t="inlineStr">
        <is>
          <t>체성분/건강 데이터 관리 솔루션</t>
        </is>
      </c>
      <c r="J47" s="25" t="inlineStr">
        <is>
          <t>체성분,비만,혈압</t>
        </is>
      </c>
      <c r="K47" s="25" t="inlineStr">
        <is>
          <t>인바디앱,건강관리플랫폼,홈헬스케어,운동추천</t>
        </is>
      </c>
      <c r="L47" s="25" t="inlineStr">
        <is>
          <t>Sensor As A Service(센서서비스)</t>
        </is>
      </c>
      <c r="M47" s="25" t="inlineStr">
        <is>
          <t>체성분·혈압 등 생체지표 기반 건강관리 솔루션, 비만/대사질환 관리 참고</t>
        </is>
      </c>
      <c r="N47" s="14" t="n">
        <v>46225</v>
      </c>
      <c r="O47" s="14" t="n">
        <v>46225</v>
      </c>
      <c r="P47" s="23" t="inlineStr">
        <is>
          <t>만성질환|데이터기록관리|개인,병원,피트니스센터,주거단지|체성분/건강 데이터 관리 솔루션|Sensor As A Service(센서서비스)</t>
        </is>
      </c>
      <c r="Q47" s="23" t="n">
        <v>1</v>
      </c>
      <c r="R47" s="23" t="n">
        <v>43</v>
      </c>
      <c r="S47" s="38" t="inlineStr">
        <is>
          <t>체성분 측정값과 건강관리 추천만으로 질환을 진단하기 어렵고, 측정기기 설치와 사용 환경에 따라 접근성이 달라짐</t>
        </is>
      </c>
      <c r="T47" s="38" t="inlineStr">
        <is>
          <t>기기 판매·설치 및 기업·병원·피트니스센터 계약형이 혼합된 구조; 제품·서비스별 가격 상이</t>
        </is>
      </c>
    </row>
    <row r="48" ht="15.75" customHeight="1" s="42">
      <c r="A48" s="29" t="inlineStr">
        <is>
          <t>CP047</t>
        </is>
      </c>
      <c r="B48" s="25" t="inlineStr">
        <is>
          <t>메쥬 하이카디</t>
        </is>
      </c>
      <c r="C48" s="25" t="inlineStr">
        <is>
          <t>만성질환</t>
        </is>
      </c>
      <c r="D48" s="25" t="inlineStr">
        <is>
          <t>데이터기록관리</t>
        </is>
      </c>
      <c r="E48" s="25" t="inlineStr">
        <is>
          <t>한국</t>
        </is>
      </c>
      <c r="F48" s="25" t="inlineStr">
        <is>
          <t>카테고리리더</t>
        </is>
      </c>
      <c r="G48" s="25" t="inlineStr">
        <is>
          <t>생체지표</t>
        </is>
      </c>
      <c r="H48" s="25" t="inlineStr">
        <is>
          <t>병원,의료진,심장질환환자</t>
        </is>
      </c>
      <c r="I48" s="25" t="inlineStr">
        <is>
          <t>웨어러블 원격 환자 모니터링</t>
        </is>
      </c>
      <c r="J48" s="25" t="inlineStr">
        <is>
          <t>심전도,부정맥,원격모니터링</t>
        </is>
      </c>
      <c r="K48" s="25" t="inlineStr">
        <is>
          <t>웨어러블패치,ECG,병원모니터링,재택관리</t>
        </is>
      </c>
      <c r="L48" s="25" t="inlineStr">
        <is>
          <t>Sensor As A Service(센서서비스)</t>
        </is>
      </c>
      <c r="M48" s="25" t="inlineStr">
        <is>
          <t>웨어러블 기반 ECG 측정 및 이동형 원격 환자 모니터링 플랫폼</t>
        </is>
      </c>
      <c r="N48" s="14" t="n">
        <v>46225</v>
      </c>
      <c r="O48" s="14" t="n">
        <v>46225</v>
      </c>
      <c r="P48" s="23" t="inlineStr">
        <is>
          <t>만성질환|데이터기록관리|병원,의료진,심장질환환자|웨어러블 원격 환자 모니터링|Sensor As A Service(센서서비스)</t>
        </is>
      </c>
      <c r="Q48" s="23" t="n">
        <v>1</v>
      </c>
      <c r="R48" s="23" t="n">
        <v>44</v>
      </c>
      <c r="S48" s="38" t="inlineStr">
        <is>
          <t>웨어러블 착용과 의료기관 연동이 필요하며, 측정 데이터의 해석과 임상적 조치는 의료진에게 의존함</t>
        </is>
      </c>
      <c r="T48" s="38" t="inlineStr">
        <is>
          <t>의료기관 대상 장비·솔루션 계약형; 웨어러블 기기·소프트웨어·모니터링 범위별 견적, 공개 가격 미확인</t>
        </is>
      </c>
    </row>
    <row r="49" ht="15.75" customHeight="1" s="42">
      <c r="A49" s="29" t="inlineStr">
        <is>
          <t>CP048</t>
        </is>
      </c>
      <c r="B49" s="25" t="inlineStr">
        <is>
          <t>딥카디오</t>
        </is>
      </c>
      <c r="C49" s="25" t="inlineStr">
        <is>
          <t>만성질환</t>
        </is>
      </c>
      <c r="D49" s="25" t="inlineStr">
        <is>
          <t>정보제공</t>
        </is>
      </c>
      <c r="E49" s="25" t="inlineStr">
        <is>
          <t>한국</t>
        </is>
      </c>
      <c r="F49" s="25" t="inlineStr">
        <is>
          <t>일반경쟁자</t>
        </is>
      </c>
      <c r="G49" s="25" t="inlineStr">
        <is>
          <t>생체지표</t>
        </is>
      </c>
      <c r="H49" s="25" t="inlineStr">
        <is>
          <t>의료진,심혈관질환위험군</t>
        </is>
      </c>
      <c r="I49" s="25" t="inlineStr">
        <is>
          <t>AI 심전도 분석 솔루션</t>
        </is>
      </c>
      <c r="J49" s="25" t="inlineStr">
        <is>
          <t>심혈관질환,심전도,AI분석</t>
        </is>
      </c>
      <c r="K49" s="25" t="inlineStr">
        <is>
          <t>심방세동,심부전,심장나이,위험도예측</t>
        </is>
      </c>
      <c r="L49" s="25" t="inlineStr">
        <is>
          <t>Leverage Customer Data(데이터활용)</t>
        </is>
      </c>
      <c r="M49" s="25" t="inlineStr">
        <is>
          <t>ECG 데이터를 AI로 분석해 심혈관 질환 위험 예측</t>
        </is>
      </c>
      <c r="N49" s="14" t="n">
        <v>46225</v>
      </c>
      <c r="O49" s="14" t="n">
        <v>46225</v>
      </c>
      <c r="P49" s="23" t="inlineStr">
        <is>
          <t>만성질환|정보제공|의료진,심혈관질환위험군|AI 심전도 분석 솔루션|Leverage Customer Data(데이터활용)</t>
        </is>
      </c>
      <c r="Q49" s="23" t="n">
        <v>1</v>
      </c>
      <c r="R49" s="23" t="n">
        <v>45</v>
      </c>
      <c r="S49" s="38" t="inlineStr">
        <is>
          <t>AI 분석 결과는 위험도 예측을 지원하는 보조 수단이며, 확정 진단이나 치료 결정을 단독으로 수행할 수 없음</t>
        </is>
      </c>
      <c r="T49" s="38" t="inlineStr">
        <is>
          <t>의료기관·기업 대상 B2B 솔루션 계약형으로 추정; 분석 건수·기관 규모별 견적, 공개 가격 미확인</t>
        </is>
      </c>
    </row>
    <row r="50" ht="15.75" customHeight="1" s="42">
      <c r="A50" s="29" t="inlineStr">
        <is>
          <t>CP049</t>
        </is>
      </c>
      <c r="B50" s="25" t="inlineStr">
        <is>
          <t>GC케어 어떠케어</t>
        </is>
      </c>
      <c r="C50" s="25" t="inlineStr">
        <is>
          <t>만성질환</t>
        </is>
      </c>
      <c r="D50" s="25" t="inlineStr">
        <is>
          <t>정보제공</t>
        </is>
      </c>
      <c r="E50" s="25" t="inlineStr">
        <is>
          <t>한국</t>
        </is>
      </c>
      <c r="F50" s="25" t="inlineStr">
        <is>
          <t>카테고리리더</t>
        </is>
      </c>
      <c r="G50" s="25" t="inlineStr">
        <is>
          <t>라이프스타일</t>
        </is>
      </c>
      <c r="H50" s="25" t="inlineStr">
        <is>
          <t>개인,기업임직원</t>
        </is>
      </c>
      <c r="I50" s="25" t="inlineStr">
        <is>
          <t>개인 맞춤 건강관리 앱</t>
        </is>
      </c>
      <c r="J50" s="25" t="inlineStr">
        <is>
          <t>건강관리,검진,생활습관</t>
        </is>
      </c>
      <c r="K50" s="25" t="inlineStr">
        <is>
          <t>맞춤콘텐츠,건강리포트,기업복지</t>
        </is>
      </c>
      <c r="L50" s="25" t="inlineStr">
        <is>
          <t>Digitization(디지털전환)</t>
        </is>
      </c>
      <c r="M50" s="25" t="inlineStr">
        <is>
          <t>GC케어의 개인 맞춤형 건강관리 앱, 만성질환 예방/관리 흐름 참고</t>
        </is>
      </c>
      <c r="N50" s="14" t="n">
        <v>46225</v>
      </c>
      <c r="O50" s="14" t="n">
        <v>46225</v>
      </c>
      <c r="P50" s="23" t="inlineStr">
        <is>
          <t>만성질환|정보제공|개인,기업임직원|개인 맞춤 건강관리 앱|Digitization(디지털전환)</t>
        </is>
      </c>
      <c r="Q50" s="23" t="n">
        <v>1</v>
      </c>
      <c r="R50" s="23" t="n">
        <v>46</v>
      </c>
      <c r="S50" s="38" t="inlineStr">
        <is>
          <t>건강검진과 생활습관 데이터에 의존하므로 데이터 연동 수준에 따라 개인화 품질이 달라지고, 의료적 관리가 필요한 경우 한계가 있음</t>
        </is>
      </c>
      <c r="T50" s="38" t="inlineStr">
        <is>
          <t>개인용 앱과 기업 복지·건강관리 계약이 혼합된 구조로 추정; 개인 유료 기능·기업 계약료 공개 자료 미확인</t>
        </is>
      </c>
    </row>
    <row r="51" ht="15.75" customHeight="1" s="42">
      <c r="A51" s="29" t="inlineStr">
        <is>
          <t>CP050</t>
        </is>
      </c>
      <c r="B51" s="25" t="inlineStr">
        <is>
          <t>파프리카케어</t>
        </is>
      </c>
      <c r="C51" s="25" t="inlineStr">
        <is>
          <t>만성질환</t>
        </is>
      </c>
      <c r="D51" s="25" t="inlineStr">
        <is>
          <t>데이터기록관리</t>
        </is>
      </c>
      <c r="E51" s="25" t="inlineStr">
        <is>
          <t>한국</t>
        </is>
      </c>
      <c r="F51" s="25" t="inlineStr">
        <is>
          <t>일반경쟁자</t>
        </is>
      </c>
      <c r="G51" s="25" t="inlineStr">
        <is>
          <t>라이프스타일</t>
        </is>
      </c>
      <c r="H51" s="25" t="inlineStr">
        <is>
          <t>개인,복약관리사용자</t>
        </is>
      </c>
      <c r="I51" s="25" t="inlineStr">
        <is>
          <t>복약/건강정보 관리 앱</t>
        </is>
      </c>
      <c r="J51" s="25" t="inlineStr">
        <is>
          <t>복약관리,약정보,건강기록</t>
        </is>
      </c>
      <c r="K51" s="25" t="inlineStr">
        <is>
          <t>약알림,처방전,부작용정보,건강데이터</t>
        </is>
      </c>
      <c r="L51" s="25" t="inlineStr">
        <is>
          <t>Freemium(프리미엄)</t>
        </is>
      </c>
      <c r="M51" s="25" t="inlineStr">
        <is>
          <t>복약 데이터와 건강정보를 관리하는 앱으로 만성질환 복약관리 참고 가능</t>
        </is>
      </c>
      <c r="N51" s="14" t="n">
        <v>46225</v>
      </c>
      <c r="O51" s="14" t="n">
        <v>46225</v>
      </c>
      <c r="P51" s="23" t="inlineStr">
        <is>
          <t>만성질환|데이터기록관리|개인,복약관리사용자|복약/건강정보 관리 앱|Freemium(프리미엄)</t>
        </is>
      </c>
      <c r="Q51" s="23" t="n">
        <v>1</v>
      </c>
      <c r="R51" s="23" t="n">
        <v>47</v>
      </c>
      <c r="S51" s="38" t="inlineStr">
        <is>
          <t>복약 알림과 약 정보 제공 중심이라 복약 순응도나 치료 결과를 보장하지 않으며, 약물 변경·중단 판단은 지원하지 않음</t>
        </is>
      </c>
      <c r="T51" s="38" t="inlineStr">
        <is>
          <t>기본 앱 무료 또는 프리미엄 구조로 분류; 유료 기능과 최신 요금은 앱스토어 확인 필요</t>
        </is>
      </c>
    </row>
    <row r="52" ht="15.75" customHeight="1" s="42">
      <c r="A52" s="29" t="inlineStr">
        <is>
          <t>CP051</t>
        </is>
      </c>
      <c r="B52" s="25" t="inlineStr">
        <is>
          <t>세컨드닥터</t>
        </is>
      </c>
      <c r="C52" s="25" t="inlineStr">
        <is>
          <t>만성질환</t>
        </is>
      </c>
      <c r="D52" s="25" t="inlineStr">
        <is>
          <t>개입치료</t>
        </is>
      </c>
      <c r="E52" s="25" t="inlineStr">
        <is>
          <t>한국</t>
        </is>
      </c>
      <c r="F52" s="25" t="inlineStr">
        <is>
          <t>일반경쟁자</t>
        </is>
      </c>
      <c r="G52" s="25" t="inlineStr">
        <is>
          <t>라이프스타일</t>
        </is>
      </c>
      <c r="H52" s="25" t="inlineStr">
        <is>
          <t>암환자,보호자</t>
        </is>
      </c>
      <c r="I52" s="25" t="inlineStr">
        <is>
          <t>암 환자 관리/교육 서비스</t>
        </is>
      </c>
      <c r="J52" s="25" t="inlineStr">
        <is>
          <t>암,환자관리,자가관리</t>
        </is>
      </c>
      <c r="K52" s="25" t="inlineStr">
        <is>
          <t>치료여정,교육콘텐츠,증상관리,보호자지원</t>
        </is>
      </c>
      <c r="L52" s="25" t="inlineStr">
        <is>
          <t>Subscription(구독형)</t>
        </is>
      </c>
      <c r="M52" s="25" t="inlineStr">
        <is>
          <t>암 환자의 치료 과정 관리와 자가관리 지원 서비스로 만성질환 케어 참고</t>
        </is>
      </c>
      <c r="N52" s="14" t="n">
        <v>46225</v>
      </c>
      <c r="O52" s="14" t="n">
        <v>46225</v>
      </c>
      <c r="P52" s="23" t="inlineStr">
        <is>
          <t>만성질환|개입치료|암환자,보호자|암 환자 관리/교육 서비스|Subscription(구독형)</t>
        </is>
      </c>
      <c r="Q52" s="23" t="n">
        <v>1</v>
      </c>
      <c r="R52" s="23" t="n">
        <v>48</v>
      </c>
      <c r="S52" s="38" t="inlineStr">
        <is>
          <t>암종과 치료 단계별 요구가 다양해 콘텐츠·자가관리만으로 개인의 치료 의사결정을 충분히 지원하기 어려움</t>
        </is>
      </c>
      <c r="T52" s="38" t="inlineStr">
        <is>
          <t>구독형 서비스로 분류; 월·연 구독료 및 보호자 요금제 공개 자료 미확인</t>
        </is>
      </c>
    </row>
    <row r="53" ht="15.75" customHeight="1" s="42">
      <c r="A53" s="29" t="inlineStr">
        <is>
          <t>CP052</t>
        </is>
      </c>
      <c r="B53" s="25" t="inlineStr">
        <is>
          <t>헬스맥스</t>
        </is>
      </c>
      <c r="C53" s="25" t="inlineStr">
        <is>
          <t>만성질환</t>
        </is>
      </c>
      <c r="D53" s="25" t="inlineStr">
        <is>
          <t>데이터기록관리</t>
        </is>
      </c>
      <c r="E53" s="25" t="inlineStr">
        <is>
          <t>한국</t>
        </is>
      </c>
      <c r="F53" s="25" t="inlineStr">
        <is>
          <t>일반경쟁자</t>
        </is>
      </c>
      <c r="G53" s="25" t="inlineStr">
        <is>
          <t>생체지표</t>
        </is>
      </c>
      <c r="H53" s="25" t="inlineStr">
        <is>
          <t>지자체,기관,개인</t>
        </is>
      </c>
      <c r="I53" s="25" t="inlineStr">
        <is>
          <t>스마트 건강관리/만성질환 관리 솔루션</t>
        </is>
      </c>
      <c r="J53" s="25" t="inlineStr">
        <is>
          <t>혈압,혈당,비만관리</t>
        </is>
      </c>
      <c r="K53" s="25" t="inlineStr">
        <is>
          <t>건강측정,공공헬스케어,원격관리,생활습관</t>
        </is>
      </c>
      <c r="L53" s="25" t="inlineStr">
        <is>
          <t>Digitization(디지털전환)</t>
        </is>
      </c>
      <c r="M53" s="25" t="inlineStr">
        <is>
          <t>공공/기관 중심의 혈압·혈당·비만 등 건강 측정 및 관리 솔루션</t>
        </is>
      </c>
      <c r="N53" s="14" t="n">
        <v>46225</v>
      </c>
      <c r="O53" s="14" t="n">
        <v>46225</v>
      </c>
      <c r="P53" s="23" t="inlineStr">
        <is>
          <t>만성질환|데이터기록관리|지자체,기관,개인|스마트 건강관리/만성질환 관리 솔루션|Digitization(디지털전환)</t>
        </is>
      </c>
      <c r="Q53" s="23" t="n">
        <v>1</v>
      </c>
      <c r="R53" s="23" t="n">
        <v>49</v>
      </c>
      <c r="S53" s="38" t="inlineStr">
        <is>
          <t>기관·지자체 도입 의존도가 높아 개인 사용자의 접근성이 낮을 수 있으며, 측정 결과만으로 질환 관리 효과를 보장하기 어려움</t>
        </is>
      </c>
      <c r="T53" s="38" t="inlineStr">
        <is>
          <t>지자체·기관 대상 구축·운영 계약형으로 추정; 장비·플랫폼·운영 범위별 견적, 공개 가격 미확인</t>
        </is>
      </c>
    </row>
    <row r="54" ht="15.75" customHeight="1" s="42">
      <c r="A54" s="29" t="inlineStr">
        <is>
          <t>CP053</t>
        </is>
      </c>
      <c r="B54" s="25" t="inlineStr">
        <is>
          <t>꿀잠닥터</t>
        </is>
      </c>
      <c r="C54" s="25" t="inlineStr">
        <is>
          <t>수면</t>
        </is>
      </c>
      <c r="D54" s="25" t="inlineStr">
        <is>
          <t>정보제공</t>
        </is>
      </c>
      <c r="E54" s="25" t="inlineStr">
        <is>
          <t>한국</t>
        </is>
      </c>
      <c r="F54" s="25" t="inlineStr">
        <is>
          <t>일반경쟁자</t>
        </is>
      </c>
      <c r="G54" s="25" t="inlineStr">
        <is>
          <t>라이프스타일</t>
        </is>
      </c>
      <c r="H54" s="25" t="inlineStr">
        <is>
          <t>수면개선희망자</t>
        </is>
      </c>
      <c r="I54" s="25" t="inlineStr">
        <is>
          <t>앱단독</t>
        </is>
      </c>
      <c r="J54" s="25" t="inlineStr">
        <is>
          <t>수면 코칭, 수면 일기, 맞춤 루틴</t>
        </is>
      </c>
      <c r="K54" s="25" t="inlineStr">
        <is>
          <t>콘텐츠 추천, 주간 리포트</t>
        </is>
      </c>
      <c r="L54" s="25" t="inlineStr">
        <is>
          <t>Freemium(프리미엄)</t>
        </is>
      </c>
      <c r="M54" s="25" t="inlineStr">
        <is>
          <t xml:space="preserve">구글플레이 설명상 수면 연구 데이터 기반 코칭 앱. 개발사/연락처가 한국으로 표기됨. 요금제는 확인 필요. </t>
        </is>
      </c>
      <c r="N54" s="14" t="n">
        <v>46227</v>
      </c>
      <c r="O54" s="14" t="n">
        <v>46241</v>
      </c>
      <c r="P54" s="23">
        <f>IF(L54="","",C54&amp;"|"&amp;D54&amp;"|"&amp;H54&amp;"|"&amp;I54&amp;"|"&amp;L54)</f>
        <v/>
      </c>
      <c r="Q54" s="23">
        <f>IF(P54="",0,IF(COUNTIF($P$2:P54,P54)=1,1,0))</f>
        <v/>
      </c>
      <c r="R54" s="23">
        <f>IF(Q54=1,SUM($Q$2:Q54),"")</f>
        <v/>
      </c>
      <c r="S54" s="38" t="inlineStr">
        <is>
          <t>사용자 수동 기록(설문·활동) 및 외부 콘텐츠(유튜브·블로그) 추천 중심이라 정밀한 수면 측정이나 전문 의료 진단에는 한계가 있고 다운로드 규모가 적음</t>
        </is>
      </c>
      <c r="T54" s="38" t="inlineStr">
        <is>
          <t>완전 무료</t>
        </is>
      </c>
    </row>
    <row r="55" ht="15.75" customHeight="1" s="42">
      <c r="A55" s="29" t="inlineStr">
        <is>
          <t>CP054</t>
        </is>
      </c>
      <c r="B55" s="25" t="inlineStr">
        <is>
          <t>슬립큐(SleepQ)</t>
        </is>
      </c>
      <c r="C55" s="25" t="inlineStr">
        <is>
          <t>수면</t>
        </is>
      </c>
      <c r="D55" s="25" t="inlineStr">
        <is>
          <t>개입치료</t>
        </is>
      </c>
      <c r="E55" s="25" t="inlineStr">
        <is>
          <t>한국</t>
        </is>
      </c>
      <c r="F55" s="25" t="inlineStr">
        <is>
          <t>카테고리리더</t>
        </is>
      </c>
      <c r="G55" s="25" t="inlineStr">
        <is>
          <t>라이프스타일</t>
        </is>
      </c>
      <c r="H55" s="25" t="inlineStr">
        <is>
          <t>불면증환자</t>
        </is>
      </c>
      <c r="I55" s="25" t="inlineStr">
        <is>
          <t>앱단독</t>
        </is>
      </c>
      <c r="J55" s="25" t="inlineStr">
        <is>
          <t>디지털치료, 수면습관 교정, 처방 프로그램</t>
        </is>
      </c>
      <c r="K55" s="25" t="inlineStr">
        <is>
          <t>의사 모니터링, 6주 치료</t>
        </is>
      </c>
      <c r="L55" s="25" t="inlineStr">
        <is>
          <t>Subscription(구독형)</t>
        </is>
      </c>
      <c r="M55" s="25" t="inlineStr">
        <is>
          <t>웰트 개발 불면증 디지털 치료제,디지털 의료기기, 병원 처방 및 비대면 진료 통한 앱 접근이 가능</t>
        </is>
      </c>
      <c r="N55" s="14" t="n">
        <v>46227</v>
      </c>
      <c r="O55" s="14" t="n">
        <v>46241</v>
      </c>
      <c r="P55" s="23">
        <f>IF(L55="","",C55&amp;"|"&amp;D55&amp;"|"&amp;H55&amp;"|"&amp;I55&amp;"|"&amp;L55)</f>
        <v/>
      </c>
      <c r="Q55" s="23">
        <f>IF(P55="",0,IF(COUNTIF($P$2:P55,P55)=1,1,0))</f>
        <v/>
      </c>
      <c r="R55" s="23">
        <f>IF(Q55=1,SUM($Q$2:Q55),"")</f>
        <v/>
      </c>
      <c r="S55" s="38" t="inlineStr">
        <is>
          <t>식약처 허가를 받은 전문 디지털 치료기기(DTx)로 의사의 진단 및 처방이 필수적이라 일반 소비자의 자유로운 사용 접근성이 제한됨</t>
        </is>
      </c>
      <c r="T55" s="38" t="inlineStr">
        <is>
          <t>앱 다운로드는 무료이나, 단 의사처방 인증코드 필요. 처방 프로그램 비용 약 20- 25만원 내외, 실손보험 적용시 실제 부담금 25000원 정도 수준으로 낮아질 수 있음.</t>
        </is>
      </c>
    </row>
    <row r="56" ht="15.75" customHeight="1" s="42">
      <c r="A56" s="29" t="inlineStr">
        <is>
          <t>CP055</t>
        </is>
      </c>
      <c r="B56" s="25" t="inlineStr">
        <is>
          <t>Nightly(미라클나잇)</t>
        </is>
      </c>
      <c r="C56" s="25" t="inlineStr">
        <is>
          <t>수면</t>
        </is>
      </c>
      <c r="D56" s="25" t="inlineStr">
        <is>
          <t>정보제공</t>
        </is>
      </c>
      <c r="E56" s="25" t="inlineStr">
        <is>
          <t>한국</t>
        </is>
      </c>
      <c r="F56" s="25" t="inlineStr">
        <is>
          <t>일반경쟁자</t>
        </is>
      </c>
      <c r="G56" s="25" t="inlineStr">
        <is>
          <t>라이프스타일</t>
        </is>
      </c>
      <c r="H56" s="25" t="inlineStr">
        <is>
          <t>전연령</t>
        </is>
      </c>
      <c r="I56" s="25" t="inlineStr">
        <is>
          <t>앱단독</t>
        </is>
      </c>
      <c r="J56" s="25" t="inlineStr">
        <is>
          <t>모노럴비트, 수면 유도, 알람</t>
        </is>
      </c>
      <c r="K56" s="25" t="inlineStr">
        <is>
          <t>명상, 기상 루틴</t>
        </is>
      </c>
      <c r="L56" s="25" t="inlineStr">
        <is>
          <t>Subscription(구독형)</t>
        </is>
      </c>
      <c r="M56" s="25" t="inlineStr">
        <is>
          <t>AI·뇌과학 기반 수면 유도 앱</t>
        </is>
      </c>
      <c r="N56" s="14" t="n">
        <v>46227</v>
      </c>
      <c r="O56" s="14" t="n">
        <v>46241</v>
      </c>
      <c r="P56" s="23">
        <f>IF(L56="","",C56&amp;"|"&amp;D56&amp;"|"&amp;H56&amp;"|"&amp;I56&amp;"|"&amp;L56)</f>
        <v/>
      </c>
      <c r="Q56" s="23">
        <f>IF(P56="",0,IF(COUNTIF($P$2:P56,P56)=1,1,0))</f>
        <v/>
      </c>
      <c r="R56" s="23">
        <f>IF(Q56=1,SUM($Q$2:Q56),"")</f>
        <v/>
      </c>
      <c r="S56" s="38" t="inlineStr">
        <is>
          <t>수면 유도 음악·영상·알림 중심으로, 심각한 수면장애의 의학적 해결에는 한계. 콘텐츠 이용을 위해 구독이 필요할 수 있음</t>
        </is>
      </c>
      <c r="T56" s="38" t="inlineStr">
        <is>
          <t>기본 무료(일부 기능 체험), 1개월 이용권 월 7,700원 / 12개월 이용권 연 77,000원 (정기 자동 결제, 무료 체험 기간 제공)</t>
        </is>
      </c>
    </row>
    <row r="57" ht="15.75" customHeight="1" s="42">
      <c r="A57" s="29" t="inlineStr">
        <is>
          <t>CP056</t>
        </is>
      </c>
      <c r="B57" s="25" t="inlineStr">
        <is>
          <t>알라미</t>
        </is>
      </c>
      <c r="C57" s="25" t="inlineStr">
        <is>
          <t>수면</t>
        </is>
      </c>
      <c r="D57" s="25" t="inlineStr">
        <is>
          <t>정보제공</t>
        </is>
      </c>
      <c r="E57" s="25" t="inlineStr">
        <is>
          <t>한국</t>
        </is>
      </c>
      <c r="F57" s="25" t="inlineStr">
        <is>
          <t>일반경쟁자</t>
        </is>
      </c>
      <c r="G57" s="25" t="inlineStr">
        <is>
          <t>라이프스타일</t>
        </is>
      </c>
      <c r="H57" s="25" t="inlineStr">
        <is>
          <t>전연령</t>
        </is>
      </c>
      <c r="I57" s="25" t="inlineStr">
        <is>
          <t>앱단독</t>
        </is>
      </c>
      <c r="J57" s="25" t="inlineStr">
        <is>
          <t>알람 미션, 수면 분석, 코골이 체크</t>
        </is>
      </c>
      <c r="K57" s="25" t="inlineStr">
        <is>
          <t>수면 사운드, 리마인더</t>
        </is>
      </c>
      <c r="L57" s="25" t="inlineStr">
        <is>
          <t>Freemium(프리미엄)</t>
        </is>
      </c>
      <c r="M57" s="25" t="inlineStr">
        <is>
          <t>수면 분석을 제공하는 웰니스 앱, 인앱구매(광고 제거, 프리미엄 기능해제, 일부 고급 수면 분석/알람기능이용)</t>
        </is>
      </c>
      <c r="N57" s="14" t="n">
        <v>46227</v>
      </c>
      <c r="O57" s="14" t="n">
        <v>46241</v>
      </c>
      <c r="P57" s="23">
        <f>IF(L57="","",C57&amp;"|"&amp;D57&amp;"|"&amp;H57&amp;"|"&amp;I57&amp;"|"&amp;L57)</f>
        <v/>
      </c>
      <c r="Q57" s="23">
        <f>IF(P57="",0,IF(COUNTIF($P$2:P57,P57)=1,1,0))</f>
        <v/>
      </c>
      <c r="R57" s="23">
        <f>IF(Q57=1,SUM($Q$2:Q57),"")</f>
        <v/>
      </c>
      <c r="S57" s="38" t="inlineStr">
        <is>
          <t>기상 알람과 수면 관리 기능 중심이라 전문적인 수면 분석·치료 기능은 제한적. 알람·미션 기능이 일부 사용자에게 피로감을 줄 수 있음</t>
        </is>
      </c>
      <c r="T57" s="38" t="inlineStr">
        <is>
          <t>기본 무료(광고 포함), 프리미엄 구독 시 월 6,900원 / 연 58,000원 선(광고 제거 및 고급 미션·수면 분석 기능 무제한 이용, Google Play Pass 지원)</t>
        </is>
      </c>
    </row>
    <row r="58" ht="15.75" customHeight="1" s="42">
      <c r="A58" s="29" t="inlineStr">
        <is>
          <t>CP057</t>
        </is>
      </c>
      <c r="B58" s="25" t="inlineStr">
        <is>
          <t>에이슬립</t>
        </is>
      </c>
      <c r="C58" s="25" t="inlineStr">
        <is>
          <t>수면</t>
        </is>
      </c>
      <c r="D58" s="25" t="inlineStr">
        <is>
          <t>데이터기록관리</t>
        </is>
      </c>
      <c r="E58" s="25" t="inlineStr">
        <is>
          <t>한국</t>
        </is>
      </c>
      <c r="F58" s="25" t="inlineStr">
        <is>
          <t>카테고리리더</t>
        </is>
      </c>
      <c r="G58" s="25" t="inlineStr">
        <is>
          <t>생체지표</t>
        </is>
      </c>
      <c r="H58" s="25" t="inlineStr">
        <is>
          <t>B2B파트너, 개인</t>
        </is>
      </c>
      <c r="I58" s="25" t="inlineStr">
        <is>
          <t>기기연동</t>
        </is>
      </c>
      <c r="J58" s="25" t="inlineStr">
        <is>
          <t>수면 단계 분석, 호흡음 분석, 수면 리포트</t>
        </is>
      </c>
      <c r="K58" s="25" t="inlineStr">
        <is>
          <t>API, SDK, 대시보드</t>
        </is>
      </c>
      <c r="L58" s="25" t="inlineStr">
        <is>
          <t>Sensor As A Service(센서서비스)</t>
        </is>
      </c>
      <c r="M58" s="25" t="inlineStr">
        <is>
          <t>수면 AI/SDK/API를 제공하는 한국 슬립테크 서비스</t>
        </is>
      </c>
      <c r="N58" s="14" t="n">
        <v>46227</v>
      </c>
      <c r="O58" s="14" t="n">
        <v>46241</v>
      </c>
      <c r="P58" s="23">
        <f>IF(L58="","",C58&amp;"|"&amp;D58&amp;"|"&amp;H58&amp;"|"&amp;I58&amp;"|"&amp;L58)</f>
        <v/>
      </c>
      <c r="Q58" s="23">
        <f>IF(P58="",0,IF(COUNTIF($P$2:P58,P58)=1,1,0))</f>
        <v/>
      </c>
      <c r="R58" s="23">
        <f>IF(Q58=1,SUM($Q$2:Q58),"")</f>
        <v/>
      </c>
      <c r="S58" s="38" t="inlineStr">
        <is>
          <t>B2B 파트너 및 수면 측정 솔루션 중심으로 일반 소비자가 단독 이용하기 어려울 수 있음. API·SDK 또는 기기 연동 의존도가 높음</t>
        </is>
      </c>
      <c r="T58" s="38" t="inlineStr">
        <is>
          <t>B2B 전용 서비스로 초기 구축비는 없으며, 기업의 선택 기능(수면 단계·실시간 분석·코골이 등)과 실제 유효 수면 데이터 측정 건수에 따른 종량제 과금 방식임</t>
        </is>
      </c>
    </row>
    <row r="59" ht="15.75" customHeight="1" s="42">
      <c r="A59" s="29" t="inlineStr">
        <is>
          <t>CP058</t>
        </is>
      </c>
      <c r="B59" s="25" t="inlineStr">
        <is>
          <t>RESTDAWN</t>
        </is>
      </c>
      <c r="C59" s="25" t="inlineStr">
        <is>
          <t>수면</t>
        </is>
      </c>
      <c r="D59" s="25" t="inlineStr">
        <is>
          <t>정보제공</t>
        </is>
      </c>
      <c r="E59" s="25" t="inlineStr">
        <is>
          <t>한국</t>
        </is>
      </c>
      <c r="F59" s="25" t="inlineStr">
        <is>
          <t>일반경쟁자</t>
        </is>
      </c>
      <c r="G59" s="25" t="inlineStr">
        <is>
          <t>라이프스타일</t>
        </is>
      </c>
      <c r="H59" s="25" t="inlineStr">
        <is>
          <t>불규칙수면자, 건강관심층</t>
        </is>
      </c>
      <c r="I59" s="25" t="inlineStr">
        <is>
          <t>앱단독</t>
        </is>
      </c>
      <c r="J59" s="25" t="inlineStr">
        <is>
          <t>수면 리포트, 루틴 관리, 기록</t>
        </is>
      </c>
      <c r="K59" s="25" t="inlineStr">
        <is>
          <t>맞춤 분석, 일상 패턴</t>
        </is>
      </c>
      <c r="L59" s="25" t="inlineStr">
        <is>
          <t>Freemium(프리미엄)</t>
        </is>
      </c>
      <c r="M59" s="25" t="inlineStr">
        <is>
          <t>플레이스토어(애플 x), 수면을 데이터로 기록하고 이해하는 리포트 앱</t>
        </is>
      </c>
      <c r="N59" s="14" t="n">
        <v>46227</v>
      </c>
      <c r="O59" s="14" t="n">
        <v>46241</v>
      </c>
      <c r="P59" s="23">
        <f>IF(L59="","",C59&amp;"|"&amp;D59&amp;"|"&amp;H59&amp;"|"&amp;I59&amp;"|"&amp;L59)</f>
        <v/>
      </c>
      <c r="Q59" s="23">
        <f>IF(P59="",0,IF(COUNTIF($P$2:P59,P59)=1,1,0))</f>
        <v/>
      </c>
      <c r="R59" s="23">
        <f>IF(Q59=1,SUM($Q$2:Q59),"")</f>
        <v/>
      </c>
      <c r="S59" s="38" t="inlineStr">
        <is>
          <t>수면 리포트와 루틴 관리 중심으로, 생활습관 개선 이상의 의료적 진단·치료에는 한계. 앱 데이터와 사용자의 기록 지속성이 필요</t>
        </is>
      </c>
      <c r="T59" s="38" t="inlineStr">
        <is>
          <t>기본 무료(광고 포함), 프리미엄 구독 시 월 4,900원 / 연간 할인 제공(AI 수면 코칭, 정밀 패턴 분석 및 맞춤 루틴 무제한 이용, 7일 무료 체험 가능)</t>
        </is>
      </c>
    </row>
    <row r="60" ht="15.75" customHeight="1" s="42">
      <c r="A60" s="29" t="inlineStr">
        <is>
          <t>CP059</t>
        </is>
      </c>
      <c r="B60" s="25" t="inlineStr">
        <is>
          <t>삼성헬스</t>
        </is>
      </c>
      <c r="C60" s="25" t="inlineStr">
        <is>
          <t>수면</t>
        </is>
      </c>
      <c r="D60" s="25" t="inlineStr">
        <is>
          <t>데이터기록관리</t>
        </is>
      </c>
      <c r="E60" s="25" t="inlineStr">
        <is>
          <t>한국</t>
        </is>
      </c>
      <c r="F60" s="25" t="inlineStr">
        <is>
          <t>플랫폼</t>
        </is>
      </c>
      <c r="G60" s="25" t="inlineStr">
        <is>
          <t>생체지표</t>
        </is>
      </c>
      <c r="H60" s="25" t="inlineStr">
        <is>
          <t>개인</t>
        </is>
      </c>
      <c r="I60" s="25" t="inlineStr">
        <is>
          <t>웨어러블연동</t>
        </is>
      </c>
      <c r="J60" s="25" t="inlineStr">
        <is>
          <t>수면 추적, 수면 단계, 코골이 감지</t>
        </is>
      </c>
      <c r="K60" s="25" t="inlineStr">
        <is>
          <t>코칭, 스트레스 관리</t>
        </is>
      </c>
      <c r="L60" s="25" t="inlineStr">
        <is>
          <t>Lock-in(락인)</t>
        </is>
      </c>
      <c r="M60" s="25" t="inlineStr">
        <is>
          <t>갤럭시 워치와 연동되는 대표 건강 플랫폼</t>
        </is>
      </c>
      <c r="N60" s="14" t="n">
        <v>46227</v>
      </c>
      <c r="O60" s="14" t="n">
        <v>46241</v>
      </c>
      <c r="P60" s="23">
        <f>IF(L60="","",C60&amp;"|"&amp;D60&amp;"|"&amp;H60&amp;"|"&amp;I60&amp;"|"&amp;L60)</f>
        <v/>
      </c>
      <c r="Q60" s="23">
        <f>IF(P60="",0,IF(COUNTIF($P$2:P60,P60)=1,1,0))</f>
        <v/>
      </c>
      <c r="R60" s="23">
        <f>IF(Q60=1,SUM($Q$2:Q60),"")</f>
        <v/>
      </c>
      <c r="S60" s="38" t="inlineStr">
        <is>
          <t>삼성 기기 및 웨어러블 생태계 의존도가 높음. 기기 없이 이용할 경우 수면 측정·분석 기능이 제한될 수 있음</t>
        </is>
      </c>
      <c r="T60" s="38" t="inlineStr">
        <is>
          <t>기본 앱 무료. 일부 기능은 삼성 웨어러블 등 별도 기기 필요</t>
        </is>
      </c>
    </row>
    <row r="61" ht="15.75" customHeight="1" s="42">
      <c r="A61" s="29" t="inlineStr">
        <is>
          <t>CP060</t>
        </is>
      </c>
      <c r="B61" s="25" t="inlineStr">
        <is>
          <t>더헬스(The Health)</t>
        </is>
      </c>
      <c r="C61" s="25" t="inlineStr">
        <is>
          <t>수면</t>
        </is>
      </c>
      <c r="D61" s="25" t="inlineStr">
        <is>
          <t>데이터기록관리</t>
        </is>
      </c>
      <c r="E61" s="25" t="inlineStr">
        <is>
          <t>한국</t>
        </is>
      </c>
      <c r="F61" s="25" t="inlineStr">
        <is>
          <t>일반경쟁자</t>
        </is>
      </c>
      <c r="G61" s="25" t="inlineStr">
        <is>
          <t>생체지표</t>
        </is>
      </c>
      <c r="H61" s="25" t="inlineStr">
        <is>
          <t>보험연계 건강관리대상자</t>
        </is>
      </c>
      <c r="I61" s="25" t="inlineStr">
        <is>
          <t>웨어러블연동</t>
        </is>
      </c>
      <c r="J61" s="25" t="inlineStr">
        <is>
          <t>수면 측정, 호흡소리 분석, 기상시간 제안</t>
        </is>
      </c>
      <c r="K61" s="25" t="inlineStr">
        <is>
          <t>AI 패턴 분석, 건강플랫폼 연계</t>
        </is>
      </c>
      <c r="L61" s="25" t="inlineStr">
        <is>
          <t>Lock-in(락인)</t>
        </is>
      </c>
      <c r="M61" s="25" t="inlineStr">
        <is>
          <t>건강플랫폼의 수면 측정 기능</t>
        </is>
      </c>
      <c r="N61" s="14" t="n">
        <v>46227</v>
      </c>
      <c r="O61" s="14" t="n">
        <v>46241</v>
      </c>
      <c r="P61" s="23">
        <f>IF(L61="","",C61&amp;"|"&amp;D61&amp;"|"&amp;H61&amp;"|"&amp;I61&amp;"|"&amp;L61)</f>
        <v/>
      </c>
      <c r="Q61" s="23">
        <f>IF(P61="",0,IF(COUNTIF($P$2:P61,P61)=1,1,0))</f>
        <v/>
      </c>
      <c r="R61" s="23">
        <f>IF(Q61=1,SUM($Q$2:Q61),"")</f>
        <v/>
      </c>
      <c r="S61" s="38" t="inlineStr">
        <is>
          <t>수면, 운동, 식단, 마음건강 등 다방면의 건강관리를 종합 제공하나 전문 헬스케어 서비스 대비 깊이가 아쉬울 수 있고 보험사 마케팅 및 이벤트 연계 요소가 포함됨</t>
        </is>
      </c>
      <c r="T61" s="38" t="inlineStr">
        <is>
          <t>완전 무료</t>
        </is>
      </c>
    </row>
    <row r="62" ht="15.75" customHeight="1" s="42">
      <c r="A62" s="29" t="inlineStr">
        <is>
          <t>CP061</t>
        </is>
      </c>
      <c r="B62" s="25" t="inlineStr">
        <is>
          <t>솜니아</t>
        </is>
      </c>
      <c r="C62" s="25" t="inlineStr">
        <is>
          <t>수면</t>
        </is>
      </c>
      <c r="D62" s="25" t="inlineStr">
        <is>
          <t>정보제공</t>
        </is>
      </c>
      <c r="E62" s="25" t="inlineStr">
        <is>
          <t>한국</t>
        </is>
      </c>
      <c r="F62" s="25" t="inlineStr">
        <is>
          <t>일반경쟁자</t>
        </is>
      </c>
      <c r="G62" s="25" t="inlineStr">
        <is>
          <t>라이프스타일</t>
        </is>
      </c>
      <c r="H62" s="25" t="inlineStr">
        <is>
          <t>피로회복희망자</t>
        </is>
      </c>
      <c r="I62" s="25" t="inlineStr">
        <is>
          <t>앱단독</t>
        </is>
      </c>
      <c r="J62" s="25" t="inlineStr">
        <is>
          <t>수면 콘텐츠, AI 수면코치, 루틴</t>
        </is>
      </c>
      <c r="K62" s="25" t="inlineStr">
        <is>
          <t>피로회복, 습관 분석</t>
        </is>
      </c>
      <c r="L62" s="25" t="inlineStr">
        <is>
          <t>Freemium(프리미엄)</t>
        </is>
      </c>
      <c r="M62" s="25" t="inlineStr">
        <is>
          <t>과학적으로 설계된 수면 콘텐츠와 AI 코치를 제공</t>
        </is>
      </c>
      <c r="N62" s="14" t="n">
        <v>46227</v>
      </c>
      <c r="O62" s="14" t="n">
        <v>46241</v>
      </c>
      <c r="P62" s="23">
        <f>IF(L62="","",C62&amp;"|"&amp;D62&amp;"|"&amp;H62&amp;"|"&amp;I62&amp;"|"&amp;L62)</f>
        <v/>
      </c>
      <c r="Q62" s="23">
        <f>IF(P62="",0,IF(COUNTIF($P$2:P62,P62)=1,1,0))</f>
        <v/>
      </c>
      <c r="R62" s="23">
        <f>IF(Q62=1,SUM($Q$2:Q62),"")</f>
        <v/>
      </c>
      <c r="S62" s="38" t="inlineStr">
        <is>
          <t>수면 콘텐츠와 AI 수면 코칭 중심으로, 개인의 복합적인 수면장애나 정신건강 문제를 직접 치료하기 어려움</t>
        </is>
      </c>
      <c r="T62" s="38" t="inlineStr">
        <is>
          <t>기본 무료, 유료 구독있음.</t>
        </is>
      </c>
    </row>
    <row r="63" ht="15.75" customHeight="1" s="42">
      <c r="A63" s="29" t="inlineStr">
        <is>
          <t>CP062</t>
        </is>
      </c>
      <c r="B63" s="25" t="inlineStr">
        <is>
          <t>코끼리</t>
        </is>
      </c>
      <c r="C63" s="25" t="inlineStr">
        <is>
          <t>수면</t>
        </is>
      </c>
      <c r="D63" s="25" t="inlineStr">
        <is>
          <t>정보제공</t>
        </is>
      </c>
      <c r="E63" s="25" t="inlineStr">
        <is>
          <t>한국</t>
        </is>
      </c>
      <c r="F63" s="25" t="inlineStr">
        <is>
          <t>일반경쟁자</t>
        </is>
      </c>
      <c r="G63" s="25" t="inlineStr">
        <is>
          <t>라이프스타일</t>
        </is>
      </c>
      <c r="H63" s="25" t="inlineStr">
        <is>
          <t>명상,ASMR선호자</t>
        </is>
      </c>
      <c r="I63" s="25" t="inlineStr">
        <is>
          <t>앱단독</t>
        </is>
      </c>
      <c r="J63" s="25" t="inlineStr">
        <is>
          <t>수면 명상, ASMR, 심리 가이드</t>
        </is>
      </c>
      <c r="K63" s="38" t="inlineStr">
        <is>
          <t>동화 음원, 스트레스 완화</t>
        </is>
      </c>
      <c r="L63" s="25" t="inlineStr">
        <is>
          <t>Subscription(구독형)</t>
        </is>
      </c>
      <c r="M63" s="25" t="inlineStr">
        <is>
          <t>무료 콘텐츠 일부 존재, 전체 콘텐츠는 1개월/12개월 자동갱신 구독으로 이용(인앱구매 포함).</t>
        </is>
      </c>
      <c r="N63" s="14" t="n">
        <v>46227</v>
      </c>
      <c r="O63" s="14" t="n">
        <v>46227</v>
      </c>
      <c r="P63" s="23">
        <f>IF(L63="","",C63&amp;"|"&amp;D63&amp;"|"&amp;H63&amp;"|"&amp;I63&amp;"|"&amp;L63)</f>
        <v/>
      </c>
      <c r="Q63" s="23">
        <f>IF(P63="",0,IF(COUNTIF($P$2:P63,P63)=1,1,0))</f>
        <v/>
      </c>
      <c r="R63" s="23">
        <f>IF(Q63=1,SUM($Q$2:Q63),"")</f>
        <v/>
      </c>
      <c r="S63" s="38" t="inlineStr">
        <is>
          <t>1:1 밀착 코칭 없는 단방향 오디오 스트리밍 위주의 구성, 연속 재생 등 플레이어 편의 기능 제약 및 주요 콘텐츠의 정기 구독 필요</t>
        </is>
      </c>
      <c r="T63" s="38" t="inlineStr">
        <is>
          <t>기본 무료(일부 콘텐츠 제한), 1개월 이용권 월 5,900원 / 12개월 이용권 연 35,000원 (정기 자동 결제)</t>
        </is>
      </c>
    </row>
    <row r="64" ht="15.75" customHeight="1" s="42">
      <c r="A64" s="29" t="inlineStr">
        <is>
          <t>CP063</t>
        </is>
      </c>
      <c r="B64" s="25" t="inlineStr">
        <is>
          <t>슬립루틴</t>
        </is>
      </c>
      <c r="C64" s="25" t="inlineStr">
        <is>
          <t>수면</t>
        </is>
      </c>
      <c r="D64" s="25" t="inlineStr">
        <is>
          <t>데이터기록관리</t>
        </is>
      </c>
      <c r="E64" s="25" t="inlineStr">
        <is>
          <t>한국</t>
        </is>
      </c>
      <c r="F64" s="25" t="inlineStr">
        <is>
          <t>일반경쟁자</t>
        </is>
      </c>
      <c r="G64" s="25" t="inlineStr">
        <is>
          <t>라이프스타일</t>
        </is>
      </c>
      <c r="H64" s="25" t="inlineStr">
        <is>
          <t>개인</t>
        </is>
      </c>
      <c r="I64" s="25" t="inlineStr">
        <is>
          <t>앱단독</t>
        </is>
      </c>
      <c r="J64" s="25" t="inlineStr">
        <is>
          <t>수면분석,수면관리,스마트알람</t>
        </is>
      </c>
      <c r="K64" s="25" t="inlineStr">
        <is>
          <t>수면단계,호흡분석,백색소음,수면리포트,맞춤가이드</t>
        </is>
      </c>
      <c r="L64" s="25" t="inlineStr">
        <is>
          <t>Subscription(구독형)</t>
        </is>
      </c>
      <c r="M64" s="25" t="inlineStr">
        <is>
          <t>스마트폰의 숨소리를 활용해 수면을 분석하고 수면 리포트, 스마트 알람, 백색소음과 맞춤형 수면 가이드를 제공하는 앱. 에이슬립에서 만든 어플.</t>
        </is>
      </c>
      <c r="N64" s="14" t="n">
        <v>46227</v>
      </c>
      <c r="O64" s="14" t="n">
        <v>46241</v>
      </c>
      <c r="P64" s="23">
        <f>IF(L64="","",C64&amp;"|"&amp;D64&amp;"|"&amp;H64&amp;"|"&amp;I64&amp;"|"&amp;L64)</f>
        <v/>
      </c>
      <c r="Q64" s="23">
        <f>IF(P64="",0,IF(COUNTIF($P$2:P64,P64)=1,1,0))</f>
        <v/>
      </c>
      <c r="R64" s="23">
        <f>IF(Q64=1,SUM($Q$2:Q64),"")</f>
        <v/>
      </c>
      <c r="S64" s="38" t="inlineStr">
        <is>
          <t>웨어러블 없이 스마트폰 마이크(숨소리) 기반으로 측정하여 외부 소음이나 다인 수면 시 오차가 생길 수 있고, 지속적인 측정 및 맞춤 가이드 이용에 유료 구독이 필요함</t>
        </is>
      </c>
      <c r="T64" s="38" t="inlineStr">
        <is>
          <t>기본 무료(일부 기능 체험 가능), 월간 결제 월 6,600원 / 연간 결제 연 39,900원~66,000원 정기 구독 제공</t>
        </is>
      </c>
    </row>
    <row r="65" ht="15.75" customHeight="1" s="42">
      <c r="A65" s="29" t="inlineStr">
        <is>
          <t>CP064</t>
        </is>
      </c>
      <c r="B65" s="25" t="inlineStr">
        <is>
          <t>수면분석 - 수면, 오토슬립, 코골이</t>
        </is>
      </c>
      <c r="C65" s="25" t="inlineStr">
        <is>
          <t>수면</t>
        </is>
      </c>
      <c r="D65" s="25" t="inlineStr">
        <is>
          <t>데이터기록관리</t>
        </is>
      </c>
      <c r="E65" s="25" t="inlineStr">
        <is>
          <t>한국</t>
        </is>
      </c>
      <c r="F65" s="25" t="inlineStr">
        <is>
          <t>일반경쟁자</t>
        </is>
      </c>
      <c r="G65" s="25" t="inlineStr">
        <is>
          <t>라이프스타일</t>
        </is>
      </c>
      <c r="H65" s="25" t="inlineStr">
        <is>
          <t>코골이기록희망자, 건강관심층</t>
        </is>
      </c>
      <c r="I65" s="25" t="inlineStr">
        <is>
          <t>앱단독</t>
        </is>
      </c>
      <c r="J65" s="25" t="inlineStr">
        <is>
          <t>수면 사이클, 코골이 녹음, 편안한 사운드</t>
        </is>
      </c>
      <c r="K65" s="25" t="inlineStr">
        <is>
          <t>스마트 알람, 리포트</t>
        </is>
      </c>
      <c r="L65" s="25" t="inlineStr">
        <is>
          <t>Freemium(프리미엄)</t>
        </is>
      </c>
      <c r="M65" s="25" t="n"/>
      <c r="N65" s="14" t="n">
        <v>46227</v>
      </c>
      <c r="O65" s="14" t="n">
        <v>46241</v>
      </c>
      <c r="P65" s="23">
        <f>IF(L65="","",C65&amp;"|"&amp;D65&amp;"|"&amp;H65&amp;"|"&amp;I65&amp;"|"&amp;L65)</f>
        <v/>
      </c>
      <c r="Q65" s="23">
        <f>IF(P65="",0,IF(COUNTIF($P$2:P65,P65)=1,1,0))</f>
        <v/>
      </c>
      <c r="R65" s="23">
        <f>IF(Q65=1,SUM($Q$2:Q65),"")</f>
        <v/>
      </c>
      <c r="S65" s="38" t="inlineStr">
        <is>
          <t>스마트폰 마이크 및 센서 측정 방식 특성상 외부 소음(에어컨·주변음 등) 간섭 시 오차가 발생할 수 있으며, 무료 버전은 광고 노출과 일부 기능 제한이 존재함</t>
        </is>
      </c>
      <c r="T65" s="38" t="inlineStr">
        <is>
          <t>기본 무료(광고 포함), 프리미엄 기능 무제한 이용을 위한 유료 구독 제공(월 약 6,600원 / 연 약 26,000원~55,000원, 7일 무료 체험 제공)</t>
        </is>
      </c>
    </row>
    <row r="66" ht="15.75" customHeight="1" s="42">
      <c r="A66" s="29" t="inlineStr">
        <is>
          <t>CP065</t>
        </is>
      </c>
      <c r="B66" s="25" t="inlineStr">
        <is>
          <t>AutoSleep</t>
        </is>
      </c>
      <c r="C66" s="25" t="inlineStr">
        <is>
          <t>수면</t>
        </is>
      </c>
      <c r="D66" s="25" t="inlineStr">
        <is>
          <t>데이터기록관리</t>
        </is>
      </c>
      <c r="E66" s="25" t="inlineStr">
        <is>
          <t>호주</t>
        </is>
      </c>
      <c r="F66" s="25" t="inlineStr">
        <is>
          <t>카테고리리더</t>
        </is>
      </c>
      <c r="G66" s="25" t="inlineStr">
        <is>
          <t>생체지표</t>
        </is>
      </c>
      <c r="H66" s="25" t="inlineStr">
        <is>
          <t>애플워치 사용자</t>
        </is>
      </c>
      <c r="I66" s="25" t="inlineStr">
        <is>
          <t>웨어러블연동</t>
        </is>
      </c>
      <c r="J66" s="25" t="inlineStr">
        <is>
          <t>수면단계분석,심박수/SpO2측정,애플워치연동</t>
        </is>
      </c>
      <c r="K66" s="25" t="n"/>
      <c r="L66" s="25" t="inlineStr">
        <is>
          <t>Add-on(애드온)</t>
        </is>
      </c>
      <c r="M66" s="25" t="inlineStr">
        <is>
          <t>₩9,900 1회 결제(평생, 구독 없음),건강·피트니스 유료앱 차트 #2, 6.5천개 평점 4.4, 2018~2025 8년 연속 Apple "올해의 앱" 선정</t>
        </is>
      </c>
      <c r="N66" s="14" t="n">
        <v>46227</v>
      </c>
      <c r="O66" s="14" t="n">
        <v>46241</v>
      </c>
      <c r="P66" s="23">
        <f>IF(L66="","",C66&amp;"|"&amp;D66&amp;"|"&amp;H66&amp;"|"&amp;I66&amp;"|"&amp;L66)</f>
        <v/>
      </c>
      <c r="Q66" s="23">
        <f>IF(P66="",0,IF(COUNTIF($P$2:P66,P66)=1,1,0))</f>
        <v/>
      </c>
      <c r="R66" s="23">
        <f>IF(Q66=1,SUM($Q$2:Q66),"")</f>
        <v/>
      </c>
      <c r="S66" s="38" t="inlineStr">
        <is>
          <t>Apple Watch 및 iPhone 생태계 의존도가 높아 비애플 사용자 접근성이 낮음. 초기 설정과 기기 착용이 필요함</t>
        </is>
      </c>
      <c r="T66" s="38" t="inlineStr">
        <is>
          <t>₩9,900 1회 결제, 평생 이용 방식</t>
        </is>
      </c>
    </row>
    <row r="67" ht="15.75" customHeight="1" s="42">
      <c r="A67" s="29" t="inlineStr">
        <is>
          <t>CP066</t>
        </is>
      </c>
      <c r="B67" s="18" t="inlineStr">
        <is>
          <t>달램</t>
        </is>
      </c>
      <c r="C67" s="18" t="inlineStr">
        <is>
          <t>수면</t>
        </is>
      </c>
      <c r="D67" s="18" t="inlineStr">
        <is>
          <t>정보제공</t>
        </is>
      </c>
      <c r="E67" s="18" t="inlineStr">
        <is>
          <t>한국</t>
        </is>
      </c>
      <c r="F67" s="18" t="inlineStr">
        <is>
          <t>일반경쟁자</t>
        </is>
      </c>
      <c r="G67" s="18" t="inlineStr">
        <is>
          <t>라이프스타일</t>
        </is>
      </c>
      <c r="H67" s="18" t="inlineStr">
        <is>
          <t>직장인, 스트레스관심층</t>
        </is>
      </c>
      <c r="I67" s="18" t="inlineStr">
        <is>
          <t>앱단독</t>
        </is>
      </c>
      <c r="J67" s="18" t="inlineStr">
        <is>
          <t>멘탈헬스, 명상. 수면</t>
        </is>
      </c>
      <c r="K67" s="18" t="inlineStr">
        <is>
          <t>기업복지, 코칭</t>
        </is>
      </c>
      <c r="L67" s="19" t="inlineStr">
        <is>
          <t>Subscription(구독형)</t>
        </is>
      </c>
      <c r="M67" s="18" t="inlineStr">
        <is>
          <t>B2B 구독형</t>
        </is>
      </c>
      <c r="N67" s="14" t="n">
        <v>46227</v>
      </c>
      <c r="O67" s="14" t="n">
        <v>46241</v>
      </c>
      <c r="P67" s="23">
        <f>IF(L67="","",C67&amp;"|"&amp;D67&amp;"|"&amp;H67&amp;"|"&amp;I67&amp;"|"&amp;L67)</f>
        <v/>
      </c>
      <c r="Q67" s="23">
        <f>IF(P67="",0,IF(COUNTIF($P$2:P67,P67)=1,1,0))</f>
        <v/>
      </c>
      <c r="R67" s="23">
        <f>IF(Q67=1,SUM($Q$2:Q67),"")</f>
        <v/>
      </c>
      <c r="S67" s="38" t="inlineStr">
        <is>
          <t>직장인·기업 복지 및 코칭 중심으로 개인 사용자가 독립적으로 접근하기 어려울 수 있음. 상담·코칭 품질이 운영 인력에 영향을 받음</t>
        </is>
      </c>
      <c r="T67" s="38" t="inlineStr">
        <is>
          <t>B2B 구독형. 기업별 계약 가격</t>
        </is>
      </c>
    </row>
    <row r="68" ht="15.75" customHeight="1" s="42">
      <c r="A68" s="29" t="inlineStr">
        <is>
          <t>CP067</t>
        </is>
      </c>
      <c r="B68" s="21" t="inlineStr">
        <is>
          <t>슬립머니(SleepMoney)</t>
        </is>
      </c>
      <c r="C68" s="17" t="inlineStr">
        <is>
          <t>수면</t>
        </is>
      </c>
      <c r="D68" s="17" t="inlineStr">
        <is>
          <t>데이터기록관리</t>
        </is>
      </c>
      <c r="E68" s="17" t="inlineStr">
        <is>
          <t>한국</t>
        </is>
      </c>
      <c r="F68" s="17" t="inlineStr">
        <is>
          <t>일반경쟁자</t>
        </is>
      </c>
      <c r="G68" s="17" t="inlineStr">
        <is>
          <t>라이프스타일</t>
        </is>
      </c>
      <c r="H68" s="17" t="inlineStr">
        <is>
          <t>앱테크관심층</t>
        </is>
      </c>
      <c r="I68" s="17" t="inlineStr">
        <is>
          <t>앱단독</t>
        </is>
      </c>
      <c r="J68" s="17" t="inlineStr">
        <is>
          <t>수면기록,리워드적립</t>
        </is>
      </c>
      <c r="K68" s="17" t="inlineStr">
        <is>
          <t>광고시청</t>
        </is>
      </c>
      <c r="L68" s="19" t="inlineStr">
        <is>
          <t>Leverage Customer Data(데이터활용)</t>
        </is>
      </c>
      <c r="M68" s="19" t="inlineStr">
        <is>
          <t>Sleep-to-Earn, 광고 기반 리워드</t>
        </is>
      </c>
      <c r="N68" s="14" t="n">
        <v>46227</v>
      </c>
      <c r="O68" s="14" t="n">
        <v>46227</v>
      </c>
      <c r="P68" s="23">
        <f>IF(L68="","",C68&amp;"|"&amp;D68&amp;"|"&amp;H68&amp;"|"&amp;I68&amp;"|"&amp;L68)</f>
        <v/>
      </c>
      <c r="Q68" s="23">
        <f>IF(P68="",0,IF(COUNTIF($P$2:P68,P68)=1,1,0))</f>
        <v/>
      </c>
      <c r="R68" s="23">
        <f>IF(Q68=1,SUM($Q$2:Q68),"")</f>
        <v/>
      </c>
      <c r="S68" s="38" t="inlineStr">
        <is>
          <t>수면 시간 및 취침 중 스마트폰 방치에 따른 포인트 적립(앱테크) 위주라 전문적인 수면 분석 및 불면 치료 기능은 부족함</t>
        </is>
      </c>
      <c r="T68" s="38" t="inlineStr">
        <is>
          <t>기본 무료 (앱 이용 및 수면 포인트 적립 무료, 광고 기반)</t>
        </is>
      </c>
    </row>
    <row r="69" ht="15.75" customHeight="1" s="42">
      <c r="A69" s="29" t="inlineStr">
        <is>
          <t>CP068</t>
        </is>
      </c>
      <c r="B69" s="18" t="inlineStr">
        <is>
          <t>슬립큐브</t>
        </is>
      </c>
      <c r="C69" s="17" t="inlineStr">
        <is>
          <t>수면</t>
        </is>
      </c>
      <c r="D69" s="17" t="inlineStr">
        <is>
          <t>매칭연결</t>
        </is>
      </c>
      <c r="E69" s="17" t="inlineStr">
        <is>
          <t>한국</t>
        </is>
      </c>
      <c r="F69" s="17" t="inlineStr">
        <is>
          <t>일반경쟁자</t>
        </is>
      </c>
      <c r="G69" s="17" t="inlineStr">
        <is>
          <t>라이프스타일</t>
        </is>
      </c>
      <c r="H69" s="17" t="inlineStr">
        <is>
          <t>수면개선희망자</t>
        </is>
      </c>
      <c r="I69" s="17" t="inlineStr">
        <is>
          <t>오프라인결합</t>
        </is>
      </c>
      <c r="J69" s="17" t="inlineStr">
        <is>
          <t>수면컨설팅,매트리스</t>
        </is>
      </c>
      <c r="K69" s="17" t="inlineStr">
        <is>
          <t>슬립케어멤버십</t>
        </is>
      </c>
      <c r="L69" s="19" t="inlineStr">
        <is>
          <t>Lock-in(락인)</t>
        </is>
      </c>
      <c r="M69" s="18" t="inlineStr">
        <is>
          <t>매트리스 브랜드+수면 컨설팅, 앱 연동</t>
        </is>
      </c>
      <c r="N69" s="14" t="n">
        <v>46227</v>
      </c>
      <c r="O69" s="14" t="n">
        <v>46241</v>
      </c>
      <c r="P69" s="23">
        <f>IF(L69="","",C69&amp;"|"&amp;D69&amp;"|"&amp;H69&amp;"|"&amp;I69&amp;"|"&amp;L69)</f>
        <v/>
      </c>
      <c r="Q69" s="23">
        <f>IF(P69="",0,IF(COUNTIF($P$2:P69,P69)=1,1,0))</f>
        <v/>
      </c>
      <c r="R69" s="23">
        <f>IF(Q69=1,SUM($Q$2:Q69),"")</f>
        <v/>
      </c>
      <c r="S69" s="38" t="inlineStr">
        <is>
          <t>수면 온도 조절 전용 하드웨어 매트리스/컨트롤러 구매가 필수적인 고가 장비로 초기 구매 비용 부담이 큼</t>
        </is>
      </c>
      <c r="T69" s="38" t="inlineStr">
        <is>
          <t>기기 및 매트 세트 구매비 약 1,800,000원 ~ 2,100,000원 (별도 앱 정기 구독료 없음)</t>
        </is>
      </c>
    </row>
    <row r="70" ht="15.75" customHeight="1" s="42">
      <c r="A70" s="29" t="inlineStr">
        <is>
          <t>CP069</t>
        </is>
      </c>
      <c r="B70" s="19" t="inlineStr">
        <is>
          <t>Bearable</t>
        </is>
      </c>
      <c r="C70" s="17" t="inlineStr">
        <is>
          <t>수면</t>
        </is>
      </c>
      <c r="D70" s="17" t="inlineStr">
        <is>
          <t>데이터기록관리</t>
        </is>
      </c>
      <c r="E70" s="17" t="inlineStr">
        <is>
          <t>영국</t>
        </is>
      </c>
      <c r="F70" s="17" t="inlineStr">
        <is>
          <t>일반경쟁자</t>
        </is>
      </c>
      <c r="G70" s="17" t="inlineStr">
        <is>
          <t>라이프스타일</t>
        </is>
      </c>
      <c r="H70" s="17" t="inlineStr">
        <is>
          <t>만성증상관리자</t>
        </is>
      </c>
      <c r="I70" s="17" t="inlineStr">
        <is>
          <t>앱단독</t>
        </is>
      </c>
      <c r="J70" s="17" t="inlineStr">
        <is>
          <t>수면,기분,증상기록</t>
        </is>
      </c>
      <c r="K70" s="17" t="inlineStr">
        <is>
          <t>상관관계분석</t>
        </is>
      </c>
      <c r="L70" s="19" t="inlineStr">
        <is>
          <t>Freemium(프리미엄)</t>
        </is>
      </c>
      <c r="M70" s="17" t="inlineStr">
        <is>
          <t>기본무료+프리미엄</t>
        </is>
      </c>
      <c r="N70" s="14" t="n">
        <v>46227</v>
      </c>
      <c r="O70" s="14" t="n">
        <v>46241</v>
      </c>
      <c r="P70" s="23">
        <f>IF(L70="","",C70&amp;"|"&amp;D70&amp;"|"&amp;H70&amp;"|"&amp;I70&amp;"|"&amp;L70)</f>
        <v/>
      </c>
      <c r="Q70" s="23">
        <f>IF(P70="",0,IF(COUNTIF($P$2:P70,P70)=1,1,0))</f>
        <v/>
      </c>
      <c r="R70" s="23">
        <f>IF(Q70=1,SUM($Q$2:Q70),"")</f>
        <v/>
      </c>
      <c r="S70" s="38" t="inlineStr">
        <is>
          <t>수면 온도 조절 전용 하드웨어 매트리스/컨트롤러 구매가 필수적인 고가 장비로 초기 구매 비용 부담이 큼</t>
        </is>
      </c>
      <c r="T70" s="38" t="inlineStr">
        <is>
          <t>기본 무료(기본 트래킹), 상세 데이터 상관관계 분석 등 유료 구독 제공 (월 약 $4.99 / 연 약 $18.99~$29.99)</t>
        </is>
      </c>
    </row>
    <row r="71" ht="15.75" customHeight="1" s="42">
      <c r="A71" s="29" t="inlineStr">
        <is>
          <t>CP070</t>
        </is>
      </c>
      <c r="B71" s="19" t="inlineStr">
        <is>
          <t>Loona</t>
        </is>
      </c>
      <c r="C71" s="17" t="inlineStr">
        <is>
          <t>수면</t>
        </is>
      </c>
      <c r="D71" s="17" t="inlineStr">
        <is>
          <t>정보제공</t>
        </is>
      </c>
      <c r="E71" s="17" t="inlineStr">
        <is>
          <t>미국</t>
        </is>
      </c>
      <c r="F71" s="17" t="inlineStr">
        <is>
          <t>일반경쟁자</t>
        </is>
      </c>
      <c r="G71" s="17" t="inlineStr">
        <is>
          <t>라이프스타일</t>
        </is>
      </c>
      <c r="H71" s="18" t="inlineStr">
        <is>
          <t>이완희망자, 불면증환자</t>
        </is>
      </c>
      <c r="I71" s="17" t="inlineStr">
        <is>
          <t>앱단독</t>
        </is>
      </c>
      <c r="J71" s="17" t="inlineStr">
        <is>
          <t>인터랙티브수면스토리</t>
        </is>
      </c>
      <c r="K71" s="17" t="inlineStr">
        <is>
          <t>스트레스완화</t>
        </is>
      </c>
      <c r="L71" s="19" t="inlineStr">
        <is>
          <t>Subscription(구독형)</t>
        </is>
      </c>
      <c r="M71" s="17" t="inlineStr">
        <is>
          <t>구독형 콘텐츠 앱</t>
        </is>
      </c>
      <c r="N71" s="14" t="n">
        <v>46227</v>
      </c>
      <c r="O71" s="14" t="n">
        <v>46241</v>
      </c>
      <c r="P71" s="23">
        <f>IF(L71="","",C71&amp;"|"&amp;D71&amp;"|"&amp;H71&amp;"|"&amp;I71&amp;"|"&amp;L71)</f>
        <v/>
      </c>
      <c r="Q71" s="23">
        <f>IF(P71="",0,IF(COUNTIF($P$2:P71,P71)=1,1,0))</f>
        <v/>
      </c>
      <c r="R71" s="23">
        <f>IF(Q71=1,SUM($Q$2:Q71),"")</f>
        <v/>
      </c>
      <c r="S71" s="38" t="inlineStr">
        <is>
          <t>수면 유도용 인터랙티브 콘텐츠 중심으로, 콘텐츠 선호도에 따라 효과 차이가 큼. 장기적인 수면장애 치료 도구로 사용하기에는 한계</t>
        </is>
      </c>
      <c r="T71" s="38" t="inlineStr">
        <is>
          <t>기본 무료(일부 체험 콘텐츠), 프리미엄 이용을 위한 유료 구독 제공 (월 약 14,000원 / 연 약 33,000원~49,000원)</t>
        </is>
      </c>
    </row>
    <row r="72" ht="15.75" customHeight="1" s="42">
      <c r="A72" s="29" t="inlineStr">
        <is>
          <t>CP071</t>
        </is>
      </c>
      <c r="B72" s="25" t="inlineStr">
        <is>
          <t>SleepisolBio</t>
        </is>
      </c>
      <c r="C72" s="25" t="inlineStr">
        <is>
          <t>수면</t>
        </is>
      </c>
      <c r="D72" s="25" t="inlineStr">
        <is>
          <t>데이터기록관리</t>
        </is>
      </c>
      <c r="E72" s="25" t="inlineStr">
        <is>
          <t>한국</t>
        </is>
      </c>
      <c r="F72" s="25" t="inlineStr">
        <is>
          <t>일반경쟁자</t>
        </is>
      </c>
      <c r="G72" s="25" t="inlineStr">
        <is>
          <t>생체지표</t>
        </is>
      </c>
      <c r="H72" s="25" t="inlineStr">
        <is>
          <t>불면/기상곤란/스트레스관심층</t>
        </is>
      </c>
      <c r="I72" s="25" t="inlineStr">
        <is>
          <t>앱단독</t>
        </is>
      </c>
      <c r="J72" s="25" t="inlineStr">
        <is>
          <t>AI수면분석, 코골이 감지, 브레인웨이브사운드테라피(바이노럴비트)</t>
        </is>
      </c>
      <c r="K72" s="25" t="inlineStr">
        <is>
          <t>스마트알람,기상미션, 40종 수면유도 미니게임, AI 맞춤명상/베드타임스토리</t>
        </is>
      </c>
      <c r="L72" s="25" t="inlineStr">
        <is>
          <t>Freemium(프리미엄)</t>
        </is>
      </c>
      <c r="M72" s="25" t="inlineStr">
        <is>
          <t>100만 + 다운로드, 평점 3.1-3.2로 낮음</t>
        </is>
      </c>
      <c r="N72" s="14" t="n">
        <v>46227</v>
      </c>
      <c r="O72" s="14" t="n">
        <v>46227</v>
      </c>
      <c r="P72" s="23">
        <f>IF(L72="","",C72&amp;"|"&amp;D72&amp;"|"&amp;H72&amp;"|"&amp;I72&amp;"|"&amp;L72)</f>
        <v/>
      </c>
      <c r="Q72" s="23">
        <f>IF(P72="",0,IF(COUNTIF($P$2:P72,P72)=1,1,0))</f>
        <v/>
      </c>
      <c r="R72" s="23">
        <f>IF(Q72=1,SUM($Q$2:Q72),"")</f>
        <v/>
      </c>
      <c r="S72" s="38" t="inlineStr">
        <is>
          <t>미세전류 뇌자극(CES) 기술 기반 전용 헤드밴드 하드웨어 기기를 반드시 별도 구매·착용해야 앱 기능을 활용할 수 있음</t>
        </is>
      </c>
      <c r="T72" s="38" t="inlineStr">
        <is>
          <t>전용 기기(슬리피솔/슬리피솔 플러스) 구매비 약 198,000원 ~ 259,000원 (연동 앱 이용료 무료)</t>
        </is>
      </c>
    </row>
    <row r="73" ht="15.75" customHeight="1" s="42">
      <c r="A73" s="29" t="inlineStr">
        <is>
          <t>CP072</t>
        </is>
      </c>
      <c r="B73" s="25" t="inlineStr">
        <is>
          <t>파사(PASA)</t>
        </is>
      </c>
      <c r="C73" s="25" t="inlineStr">
        <is>
          <t>수면</t>
        </is>
      </c>
      <c r="D73" s="25" t="inlineStr">
        <is>
          <t>정보제공</t>
        </is>
      </c>
      <c r="E73" s="25" t="inlineStr">
        <is>
          <t>한국</t>
        </is>
      </c>
      <c r="F73" s="25" t="inlineStr">
        <is>
          <t>일반경쟁자</t>
        </is>
      </c>
      <c r="G73" s="25" t="inlineStr">
        <is>
          <t>라이프스타일</t>
        </is>
      </c>
      <c r="H73" s="25" t="inlineStr">
        <is>
          <t>코골이기록희망자, 수면개선희망자</t>
        </is>
      </c>
      <c r="I73" s="25" t="inlineStr">
        <is>
          <t>앱단독</t>
        </is>
      </c>
      <c r="J73" s="25" t="inlineStr">
        <is>
          <t>코골이 녹음, 수면 리포트, 백색소음</t>
        </is>
      </c>
      <c r="K73" s="25" t="inlineStr">
        <is>
          <t>알람, 명상</t>
        </is>
      </c>
      <c r="L73" s="25" t="inlineStr">
        <is>
          <t>Add-on(애드온)</t>
        </is>
      </c>
      <c r="M73" s="25" t="inlineStr">
        <is>
          <t>앱 구독 + 코골이 솔루션/구강장치 연계상품 존재. 구독형만으로 보기보다 추가 상품 판매가 결합된 Add-on 구조</t>
        </is>
      </c>
      <c r="N73" s="14" t="n">
        <v>46227</v>
      </c>
      <c r="O73" s="14" t="n">
        <v>46241</v>
      </c>
      <c r="P73" s="23">
        <f>IF(L73="","",C73&amp;"|"&amp;D73&amp;"|"&amp;H73&amp;"|"&amp;I73&amp;"|"&amp;L73)</f>
        <v/>
      </c>
      <c r="Q73" s="23">
        <f>IF(P73="",0,IF(COUNTIF($P$2:P73,P73)=1,1,0))</f>
        <v/>
      </c>
      <c r="R73" s="23">
        <f>IF(Q73=1,SUM($Q$2:Q73),"")</f>
        <v/>
      </c>
      <c r="S73" s="38" t="inlineStr">
        <is>
          <t>마이크 기반 측정 특성상 주변 소음 간섭 가능성이 있으며 심한 코골이는 연계 치과 구강내장치 치료 안내로 유도됨</t>
        </is>
      </c>
      <c r="T73" s="38" t="inlineStr">
        <is>
          <t>기본 무료 (앱 내 코골이 녹음·분석, 수면 리포트, 백색소음 등 기본 기능 전액 무료 제공)</t>
        </is>
      </c>
    </row>
    <row r="74" ht="15.75" customHeight="1" s="42">
      <c r="A74" s="29" t="inlineStr">
        <is>
          <t>CP073</t>
        </is>
      </c>
      <c r="B74" s="19" t="inlineStr">
        <is>
          <t>Headspace</t>
        </is>
      </c>
      <c r="C74" s="17" t="inlineStr">
        <is>
          <t>수면</t>
        </is>
      </c>
      <c r="D74" s="17" t="inlineStr">
        <is>
          <t>정보제공</t>
        </is>
      </c>
      <c r="E74" s="18" t="inlineStr">
        <is>
          <t>미국</t>
        </is>
      </c>
      <c r="F74" s="17" t="inlineStr">
        <is>
          <t>카테고리리더</t>
        </is>
      </c>
      <c r="G74" s="17" t="inlineStr">
        <is>
          <t>라이프스타일</t>
        </is>
      </c>
      <c r="H74" s="18" t="inlineStr">
        <is>
          <t>전연령</t>
        </is>
      </c>
      <c r="I74" s="17" t="inlineStr">
        <is>
          <t>앱단독</t>
        </is>
      </c>
      <c r="J74" s="17" t="inlineStr">
        <is>
          <t>슬립캐스트,수면라디오</t>
        </is>
      </c>
      <c r="K74" s="17" t="inlineStr">
        <is>
          <t>명상컨텐츠</t>
        </is>
      </c>
      <c r="L74" s="19" t="inlineStr">
        <is>
          <t>Subscription(구독형)</t>
        </is>
      </c>
      <c r="M74" s="17" t="inlineStr">
        <is>
          <t>월$12.99, 연$69.99</t>
        </is>
      </c>
      <c r="N74" s="14" t="n">
        <v>46227</v>
      </c>
      <c r="O74" s="14" t="n">
        <v>46241</v>
      </c>
      <c r="P74" s="23">
        <f>IF(L74="","",C74&amp;"|"&amp;D74&amp;"|"&amp;H74&amp;"|"&amp;I74&amp;"|"&amp;L74)</f>
        <v/>
      </c>
      <c r="Q74" s="23">
        <f>IF(P74="",0,IF(COUNTIF($P$2:P74,P74)=1,1,0))</f>
        <v/>
      </c>
      <c r="R74" s="23">
        <f>IF(Q74=1,SUM($Q$2:Q74),"")</f>
        <v/>
      </c>
      <c r="S74" s="38" t="inlineStr">
        <is>
          <t>한국어 전용 콘텐츠 비중이 적고 수면 오디오 중심이라 스마트폰 센서/웨어러블 기반의 수면 측정 기능은 없음</t>
        </is>
      </c>
      <c r="T74" s="38" t="inlineStr">
        <is>
          <t>기본무료,월 $12.99, 연 $69.99</t>
        </is>
      </c>
    </row>
    <row r="75" ht="15.75" customHeight="1" s="42">
      <c r="A75" s="29" t="inlineStr">
        <is>
          <t>CP074</t>
        </is>
      </c>
      <c r="B75" s="19" t="inlineStr">
        <is>
          <t>Sleep Tracker</t>
        </is>
      </c>
      <c r="C75" s="17" t="inlineStr">
        <is>
          <t>수면</t>
        </is>
      </c>
      <c r="D75" s="18" t="inlineStr">
        <is>
          <t>데이터기록관리</t>
        </is>
      </c>
      <c r="E75" s="18" t="inlineStr">
        <is>
          <t>홍콩/영국</t>
        </is>
      </c>
      <c r="F75" s="18" t="inlineStr">
        <is>
          <t>일반경쟁자</t>
        </is>
      </c>
      <c r="G75" s="18" t="inlineStr">
        <is>
          <t>라이프스타일</t>
        </is>
      </c>
      <c r="H75" s="18" t="inlineStr">
        <is>
          <t>불면증환자, 건강관심층</t>
        </is>
      </c>
      <c r="I75" s="18" t="inlineStr">
        <is>
          <t>앱단독</t>
        </is>
      </c>
      <c r="J75" s="18" t="inlineStr">
        <is>
          <t>수면주기분석, 코골이/잠꼬대 녹음, 수면점수</t>
        </is>
      </c>
      <c r="K75" s="18" t="inlineStr">
        <is>
          <t>스마트알람, 백색소음/명상사운드, Apple Health 연동</t>
        </is>
      </c>
      <c r="L75" s="19" t="inlineStr">
        <is>
          <t>Subscription(구독형)</t>
        </is>
      </c>
      <c r="M75" s="18" t="inlineStr">
        <is>
          <t>무료+인앱구독. 2.2천 리뷰 평점 4.7로 완성도 높은 편. 동일 개발사가 운동·다이어트 앱도 다수 운영(포트폴리오형 헬스앱 퍼블리셔). "무료여도 유료 못지않게 정확하다"는 리뷰 다수</t>
        </is>
      </c>
      <c r="N75" s="14" t="n">
        <v>46227</v>
      </c>
      <c r="O75" s="14" t="n">
        <v>46241</v>
      </c>
      <c r="P75" s="23">
        <f>IF(L75="","",C75&amp;"|"&amp;D75&amp;"|"&amp;H75&amp;"|"&amp;I75&amp;"|"&amp;L75)</f>
        <v/>
      </c>
      <c r="Q75" s="23">
        <f>IF(P75="",0,IF(COUNTIF($P$2:P75,P75)=1,1,0))</f>
        <v/>
      </c>
      <c r="R75" s="23">
        <f>IF(Q75=1,SUM($Q$2:Q75),"")</f>
        <v/>
      </c>
      <c r="S75" s="38" t="inlineStr">
        <is>
          <t>스마트폰 기반 수면 기록은 실제 수면 단계 측정에 한계가 있음. 무료 버전은 광고·기능 제한이 있고, 고급 분석에는 구독이 필요할 수 있음</t>
        </is>
      </c>
      <c r="T75" s="38" t="inlineStr">
        <is>
          <t>기본 무료(광고 포함), 프리미엄 기능 무제한 이용을 위한 유료 구독 제공 (월 약 6,600원 / 연 약 26,000원~55,000원)</t>
        </is>
      </c>
    </row>
    <row r="76" ht="15.75" customHeight="1" s="42">
      <c r="A76" s="29" t="inlineStr">
        <is>
          <t>CP075</t>
        </is>
      </c>
      <c r="B76" s="25" t="inlineStr">
        <is>
          <t>트로스트</t>
        </is>
      </c>
      <c r="C76" s="25" t="inlineStr">
        <is>
          <t>수면</t>
        </is>
      </c>
      <c r="D76" s="25" t="inlineStr">
        <is>
          <t>정보제공</t>
        </is>
      </c>
      <c r="E76" s="25" t="inlineStr">
        <is>
          <t>한국</t>
        </is>
      </c>
      <c r="F76" s="25" t="inlineStr">
        <is>
          <t>일반경쟁자</t>
        </is>
      </c>
      <c r="G76" s="25" t="inlineStr">
        <is>
          <t>라이프스타일</t>
        </is>
      </c>
      <c r="H76" s="25" t="inlineStr">
        <is>
          <t>스트레스관심층</t>
        </is>
      </c>
      <c r="I76" s="25" t="inlineStr">
        <is>
          <t>앱단독</t>
        </is>
      </c>
      <c r="J76" s="25" t="inlineStr">
        <is>
          <t>상담, 심리 콘텐츠, 이완</t>
        </is>
      </c>
      <c r="K76" s="25" t="inlineStr">
        <is>
          <t>수면 코칭, 감정 기록</t>
        </is>
      </c>
      <c r="L76" s="25" t="inlineStr">
        <is>
          <t>Subscription(구독형)</t>
        </is>
      </c>
      <c r="M76" s="25" t="inlineStr">
        <is>
          <t>심리상담 플랫폼이지만 수면·이완 관련 웰니스 활용이 가능</t>
        </is>
      </c>
      <c r="N76" s="14" t="n">
        <v>46227</v>
      </c>
      <c r="O76" s="14" t="n">
        <v>46241</v>
      </c>
      <c r="P76" s="23">
        <f>IF(L76="","",C76&amp;"|"&amp;D76&amp;"|"&amp;H76&amp;"|"&amp;I76&amp;"|"&amp;L76)</f>
        <v/>
      </c>
      <c r="Q76" s="23">
        <f>IF(P76="",0,IF(COUNTIF($P$2:P76,P76)=1,1,0))</f>
        <v/>
      </c>
      <c r="R76" s="23">
        <f>IF(Q76=1,SUM($Q$2:Q76),"")</f>
        <v/>
      </c>
      <c r="S76" s="38" t="inlineStr">
        <is>
          <t>심리상담 플랫폼 중심이라 수면 문제를 직접 측정·분석하는 기능은 제한적. 상담 비용과 상담사별 품질·가용성 차이가 존재</t>
        </is>
      </c>
      <c r="T76" s="38" t="inlineStr">
        <is>
          <t>기본 무료(앱 이용 및 무료 심리검사·ASMR), 전문 1:1 심리상담·코칭 이용 시 회당 약 3만~7만 원대 결제</t>
        </is>
      </c>
    </row>
    <row r="77" ht="15.75" customHeight="1" s="42">
      <c r="A77" s="29" t="inlineStr">
        <is>
          <t>CP076</t>
        </is>
      </c>
      <c r="B77" s="25" t="inlineStr">
        <is>
          <t>마인드브릿지</t>
        </is>
      </c>
      <c r="C77" s="25" t="inlineStr">
        <is>
          <t>수면</t>
        </is>
      </c>
      <c r="D77" s="25" t="inlineStr">
        <is>
          <t>정보제공</t>
        </is>
      </c>
      <c r="E77" s="25" t="inlineStr">
        <is>
          <t>한국</t>
        </is>
      </c>
      <c r="F77" s="25" t="inlineStr">
        <is>
          <t>일반경쟁자</t>
        </is>
      </c>
      <c r="G77" s="25" t="inlineStr">
        <is>
          <t>라이프스타일</t>
        </is>
      </c>
      <c r="H77" s="25" t="inlineStr">
        <is>
          <t>이완희망자</t>
        </is>
      </c>
      <c r="I77" s="25" t="inlineStr">
        <is>
          <t>앱단독</t>
        </is>
      </c>
      <c r="J77" s="25" t="inlineStr">
        <is>
          <t>명상, 호흡, 이완</t>
        </is>
      </c>
      <c r="K77" s="25" t="inlineStr">
        <is>
          <t>루틴, 집중/수면 전환</t>
        </is>
      </c>
      <c r="L77" s="25" t="inlineStr">
        <is>
          <t>Freemium(프리미엄)</t>
        </is>
      </c>
      <c r="M77" s="25" t="inlineStr">
        <is>
          <t>수면/명상 성격 서비스</t>
        </is>
      </c>
      <c r="N77" s="14" t="n">
        <v>46227</v>
      </c>
      <c r="O77" s="14" t="n">
        <v>46241</v>
      </c>
      <c r="P77" s="23">
        <f>IF(L77="","",C77&amp;"|"&amp;D77&amp;"|"&amp;H77&amp;"|"&amp;I77&amp;"|"&amp;L77)</f>
        <v/>
      </c>
      <c r="Q77" s="23">
        <f>IF(P77="",0,IF(COUNTIF($P$2:P77,P77)=1,1,0))</f>
        <v/>
      </c>
      <c r="R77" s="23">
        <f>IF(Q77=1,SUM($Q$2:Q77),"")</f>
        <v/>
      </c>
      <c r="S77" s="38" t="inlineStr">
        <is>
          <t>명상·호흡·이완 콘텐츠 중심으로, 수면장애에 대한 의료적 진단·치료 기능은 제한적. 콘텐츠 이용 효과가 개인별로 다를 수 있음</t>
        </is>
      </c>
      <c r="T77" s="38" t="inlineStr">
        <is>
          <t>B2B 전용 서비스로 제휴 기업 임직원은 무료 이용(기업 비용 부담), 개인 별도 이용 시 상담 비용 발생</t>
        </is>
      </c>
    </row>
    <row r="78" ht="15.75" customHeight="1" s="42">
      <c r="A78" s="29" t="inlineStr">
        <is>
          <t>CP077</t>
        </is>
      </c>
      <c r="B78" s="25" t="inlineStr">
        <is>
          <t>티끌</t>
        </is>
      </c>
      <c r="C78" s="25" t="inlineStr">
        <is>
          <t>수면</t>
        </is>
      </c>
      <c r="D78" s="25" t="inlineStr">
        <is>
          <t>정보제공</t>
        </is>
      </c>
      <c r="E78" s="25" t="inlineStr">
        <is>
          <t>한국</t>
        </is>
      </c>
      <c r="F78" s="25" t="inlineStr">
        <is>
          <t>일반경쟁자</t>
        </is>
      </c>
      <c r="G78" s="25" t="inlineStr">
        <is>
          <t>라이프스타일</t>
        </is>
      </c>
      <c r="H78" s="25" t="inlineStr">
        <is>
          <t>이완희망자</t>
        </is>
      </c>
      <c r="I78" s="25" t="inlineStr">
        <is>
          <t>앱단독</t>
        </is>
      </c>
      <c r="J78" s="25" t="inlineStr">
        <is>
          <t>명상, 수면, 유도, 루틴</t>
        </is>
      </c>
      <c r="K78" s="25" t="inlineStr">
        <is>
          <t>짧은 호흡, 취침가이드</t>
        </is>
      </c>
      <c r="L78" s="25" t="inlineStr">
        <is>
          <t>Freemium(프리미엄)</t>
        </is>
      </c>
      <c r="M78" s="25" t="inlineStr">
        <is>
          <t xml:space="preserve"> 수면/이완 성격 서비스</t>
        </is>
      </c>
      <c r="N78" s="14" t="n">
        <v>46227</v>
      </c>
      <c r="O78" s="14" t="n">
        <v>46241</v>
      </c>
      <c r="P78" s="23">
        <f>IF(L78="","",C78&amp;"|"&amp;D78&amp;"|"&amp;H78&amp;"|"&amp;I78&amp;"|"&amp;L78)</f>
        <v/>
      </c>
      <c r="Q78" s="23">
        <f>IF(P78="",0,IF(COUNTIF($P$2:P78,P78)=1,1,0))</f>
        <v/>
      </c>
      <c r="R78" s="23">
        <f>IF(Q78=1,SUM($Q$2:Q78),"")</f>
        <v/>
      </c>
      <c r="S78" s="38" t="inlineStr">
        <is>
          <t>명상·수면·이완 콘텐츠 중심으로, 지속적인 이용과 습관 형성이 필요. 전문 수면검사나 의료 상담을 대체하기 어려움</t>
        </is>
      </c>
      <c r="T78" s="38" t="inlineStr">
        <is>
          <t>기본 무료(일부 기능 체험), 무제한 앱 차단 및 프로 기능 유료 결제 제공 (월 약 3,300원 / 연 약 22,000원 또는 평생 이용권)</t>
        </is>
      </c>
    </row>
    <row r="79" ht="15.75" customHeight="1" s="42">
      <c r="A79" s="29" t="inlineStr">
        <is>
          <t>CP078</t>
        </is>
      </c>
      <c r="B79" s="25" t="inlineStr">
        <is>
          <t>다노(DAN0)</t>
        </is>
      </c>
      <c r="C79" s="25" t="inlineStr">
        <is>
          <t>식단</t>
        </is>
      </c>
      <c r="D79" s="25" t="inlineStr">
        <is>
          <t>정보제공</t>
        </is>
      </c>
      <c r="E79" s="25" t="inlineStr">
        <is>
          <t>한국</t>
        </is>
      </c>
      <c r="F79" s="25" t="inlineStr">
        <is>
          <t>카테고리리더</t>
        </is>
      </c>
      <c r="G79" s="25" t="inlineStr">
        <is>
          <t>라이프스타일</t>
        </is>
      </c>
      <c r="H79" s="25" t="inlineStr">
        <is>
          <t>다이어터</t>
        </is>
      </c>
      <c r="I79" s="25" t="inlineStr">
        <is>
          <t>앱단독</t>
        </is>
      </c>
      <c r="J79" s="25" t="inlineStr">
        <is>
          <t>다이어트콘텐츠,레시피</t>
        </is>
      </c>
      <c r="K79" s="25" t="inlineStr">
        <is>
          <t>커뮤니티, 자기관리아이템</t>
        </is>
      </c>
      <c r="L79" s="25" t="inlineStr">
        <is>
          <t>Freemium(프리미엄)</t>
        </is>
      </c>
      <c r="M79" s="25" t="inlineStr">
        <is>
          <t>콘텐츠 앱은 무료, 식단 쇼핑몰,유료 코칭으로 수익 연계 되는 구조</t>
        </is>
      </c>
      <c r="N79" s="14" t="n">
        <v>46229</v>
      </c>
      <c r="O79" s="14" t="n">
        <v>46229</v>
      </c>
      <c r="P79" s="23">
        <f>IF(L79="","",C79&amp;"|"&amp;D79&amp;"|"&amp;H79&amp;"|"&amp;I79&amp;"|"&amp;L79)</f>
        <v/>
      </c>
      <c r="Q79" s="23">
        <f>IF(P79="",0,IF(COUNTIF($P$2:P79,P79)=1,1,0))</f>
        <v/>
      </c>
      <c r="R79" s="23">
        <f>IF(Q79=1,SUM($Q$2:Q79),"")</f>
        <v/>
      </c>
      <c r="S79" s="38" t="inlineStr">
        <is>
          <t>코칭 상품가가 높고 정해진 개강일 대기 등 접근성 제약, 앱보다 식품 쇼핑몰·코칭 판매 중심 구조</t>
        </is>
      </c>
      <c r="T79" s="38" t="inlineStr">
        <is>
          <t>다노앱 기본 무료. 온라인 PT '다노핏코치' 정가 월 72,000원(주3회 코칭·4주 기준)습관성형 클럽' 멤버십(다노샵): 베이직 89,000원, 코칭 멤버십 330,000원.</t>
        </is>
      </c>
      <c r="U79" s="38" t="n"/>
    </row>
    <row r="80" ht="15.75" customHeight="1" s="42">
      <c r="A80" s="29" t="inlineStr">
        <is>
          <t>CP079</t>
        </is>
      </c>
      <c r="B80" s="25" t="inlineStr">
        <is>
          <t>다티(나만의 영양사)</t>
        </is>
      </c>
      <c r="C80" s="25" t="inlineStr">
        <is>
          <t>식단</t>
        </is>
      </c>
      <c r="D80" s="25" t="inlineStr">
        <is>
          <t>매칭연결</t>
        </is>
      </c>
      <c r="E80" s="25" t="inlineStr">
        <is>
          <t>한국</t>
        </is>
      </c>
      <c r="F80" s="25" t="inlineStr">
        <is>
          <t>일반경쟁자</t>
        </is>
      </c>
      <c r="G80" s="25" t="inlineStr">
        <is>
          <t>라이프스타일</t>
        </is>
      </c>
      <c r="H80" s="25" t="inlineStr">
        <is>
          <t>만성질환자, 다이어터</t>
        </is>
      </c>
      <c r="I80" s="25" t="inlineStr">
        <is>
          <t>앱단독</t>
        </is>
      </c>
      <c r="J80" s="25" t="inlineStr">
        <is>
          <t>영양상담, 매칭</t>
        </is>
      </c>
      <c r="K80" s="25" t="inlineStr">
        <is>
          <t>1:1 상담, 온라인교육콘텐츠</t>
        </is>
      </c>
      <c r="L80" s="25" t="inlineStr">
        <is>
          <t>Two-sided Market(양면시장)</t>
        </is>
      </c>
      <c r="M80" s="25" t="inlineStr">
        <is>
          <t>전문 영양사와 사용자를 매칭해 1:1 상담제공, 당뇨/혈당 등 질환별 콘텐츠 보유</t>
        </is>
      </c>
      <c r="N80" s="14" t="n">
        <v>46229</v>
      </c>
      <c r="O80" s="14" t="n">
        <v>46229</v>
      </c>
      <c r="P80" s="23">
        <f>IF(L80="","",C80&amp;"|"&amp;D80&amp;"|"&amp;H80&amp;"|"&amp;I80&amp;"|"&amp;L80)</f>
        <v/>
      </c>
      <c r="Q80" s="23">
        <f>IF(P80="",0,IF(COUNTIF($P$2:P80,P80)=1,1,0))</f>
        <v/>
      </c>
      <c r="R80" s="23">
        <f>IF(Q80=1,SUM($Q$2:Q80),"")</f>
        <v/>
      </c>
      <c r="S80" s="38" t="inlineStr">
        <is>
          <t>앱이 아니라 영양사 온라인 강의+1:1 상담 e커머스(프로그램 구매형)라 셀프서비스 구독이 없고 확장성 낮음</t>
        </is>
      </c>
      <c r="T80" s="38" t="inlineStr">
        <is>
          <t>프로그램/상담 건별 판매 구조. 원/연 구독제 아님</t>
        </is>
      </c>
    </row>
    <row r="81" ht="15.75" customHeight="1" s="42">
      <c r="A81" s="29" t="inlineStr">
        <is>
          <t>CP080</t>
        </is>
      </c>
      <c r="B81" s="25" t="inlineStr">
        <is>
          <t>인아웃(InOut)</t>
        </is>
      </c>
      <c r="C81" s="25" t="inlineStr">
        <is>
          <t>식단</t>
        </is>
      </c>
      <c r="D81" s="25" t="inlineStr">
        <is>
          <t>데이터기록관리</t>
        </is>
      </c>
      <c r="E81" s="25" t="inlineStr">
        <is>
          <t>한국</t>
        </is>
      </c>
      <c r="F81" s="25" t="inlineStr">
        <is>
          <t>일반경쟁자</t>
        </is>
      </c>
      <c r="G81" s="25" t="inlineStr">
        <is>
          <t>라이프스타일</t>
        </is>
      </c>
      <c r="H81" s="25" t="inlineStr">
        <is>
          <t>다이어터, 20대 여성</t>
        </is>
      </c>
      <c r="I81" s="25" t="inlineStr">
        <is>
          <t>앱단독</t>
        </is>
      </c>
      <c r="J81" s="25" t="inlineStr">
        <is>
          <t>식단기록,체중기록</t>
        </is>
      </c>
      <c r="K81" s="25" t="inlineStr">
        <is>
          <t>커뮤니티, 챌린지, 꾸미기아이템</t>
        </is>
      </c>
      <c r="L81" s="25" t="inlineStr">
        <is>
          <t>Freemium(프리미엄)</t>
        </is>
      </c>
      <c r="M81" s="25" t="inlineStr">
        <is>
          <t>식단 운동 체중을 사진/피드로 기록하고 공유, 포인트로 꾸미기 아이템 구매,익명 게시판 운영</t>
        </is>
      </c>
      <c r="N81" s="14" t="n">
        <v>46229</v>
      </c>
      <c r="O81" s="14" t="n">
        <v>46229</v>
      </c>
      <c r="P81" s="23">
        <f>IF(L81="","",C81&amp;"|"&amp;D81&amp;"|"&amp;H81&amp;"|"&amp;I81&amp;"|"&amp;L81)</f>
        <v/>
      </c>
      <c r="Q81" s="23">
        <f>IF(P81="",0,IF(COUNTIF($P$2:P81,P81)=1,1,0))</f>
        <v/>
      </c>
      <c r="R81" s="23">
        <f>IF(Q81=1,SUM($Q$2:Q81),"")</f>
        <v/>
      </c>
      <c r="S81" s="38" t="inlineStr">
        <is>
          <t>게임·커뮤니티 중심으로 재미 요소는 강하나 전문 코칭 깊이는 얕음, 광고 기반 무료 구조</t>
        </is>
      </c>
      <c r="T81" s="38" t="inlineStr">
        <is>
          <t>무료 + 앱 내 구입. 프리미엄 구독-월간 구독 (일반): 14,900원 / 월월간 구독 (스타터): 9,900원 / 월</t>
        </is>
      </c>
    </row>
    <row r="82" ht="15.75" customHeight="1" s="42">
      <c r="A82" s="29" t="inlineStr">
        <is>
          <t>CP081</t>
        </is>
      </c>
      <c r="B82" s="25" t="inlineStr">
        <is>
          <t>필라이즈(Pilyze)</t>
        </is>
      </c>
      <c r="C82" s="25" t="inlineStr">
        <is>
          <t>식단</t>
        </is>
      </c>
      <c r="D82" s="25" t="inlineStr">
        <is>
          <t>개입치료</t>
        </is>
      </c>
      <c r="E82" s="25" t="inlineStr">
        <is>
          <t>한국</t>
        </is>
      </c>
      <c r="F82" s="25" t="inlineStr">
        <is>
          <t>일반경쟁자</t>
        </is>
      </c>
      <c r="G82" s="25" t="inlineStr">
        <is>
          <t>생체지표</t>
        </is>
      </c>
      <c r="H82" s="25" t="inlineStr">
        <is>
          <t>당뇨전단계, 다이어터</t>
        </is>
      </c>
      <c r="I82" s="25" t="inlineStr">
        <is>
          <t>웨어러블연동</t>
        </is>
      </c>
      <c r="J82" s="25" t="inlineStr">
        <is>
          <t>혈당관리, AI코칭</t>
        </is>
      </c>
      <c r="K82" s="25" t="inlineStr">
        <is>
          <t>무채혈CGM연동, 영양제 분석</t>
        </is>
      </c>
      <c r="L82" s="25" t="inlineStr">
        <is>
          <t>Razor And Blade(레이저블레</t>
        </is>
      </c>
      <c r="M82" s="25" t="inlineStr">
        <is>
          <t>연속혈당측정기 연동 + AI 혈당 멤버십 구조. 센서 기기와 구독형 관리 결합</t>
        </is>
      </c>
      <c r="N82" s="14" t="n">
        <v>46229</v>
      </c>
      <c r="O82" s="14" t="n">
        <v>46229</v>
      </c>
      <c r="P82" s="23">
        <f>IF(L82="","",C82&amp;"|"&amp;D82&amp;"|"&amp;H82&amp;"|"&amp;I82&amp;"|"&amp;L82)</f>
        <v/>
      </c>
      <c r="Q82" s="23">
        <f>IF(P82="",0,IF(COUNTIF($P$2:P82,P82)=1,1,0))</f>
        <v/>
      </c>
      <c r="R82" s="23">
        <f>IF(Q82=1,SUM($Q$2:Q82),"")</f>
        <v/>
      </c>
      <c r="S82" s="38" t="inlineStr">
        <is>
          <t>무제한 AI 코칭. 실제 결제·영양제 구매가 외부 사이트로 이탈, 운동 연동(기기) 정밀도 아쉬움</t>
        </is>
      </c>
      <c r="T82" s="38" t="inlineStr">
        <is>
          <t>앱 기본 무료. '필라이즈 플러스' 정가 월 15,900원. CGM 혈당 멤버십 '슈가케어' 월 319,000원→할인가 월 210,000원. 1:1 전문가 코칭 '포미 다이어트' 월 약 241,667원</t>
        </is>
      </c>
    </row>
    <row r="83" ht="15.75" customHeight="1" s="42">
      <c r="A83" s="29" t="inlineStr">
        <is>
          <t>CP082</t>
        </is>
      </c>
      <c r="B83" s="25" t="inlineStr">
        <is>
          <t>닥터나우</t>
        </is>
      </c>
      <c r="C83" s="25" t="inlineStr">
        <is>
          <t>식단</t>
        </is>
      </c>
      <c r="D83" s="25" t="inlineStr">
        <is>
          <t>개입치료</t>
        </is>
      </c>
      <c r="E83" s="25" t="inlineStr">
        <is>
          <t>한국</t>
        </is>
      </c>
      <c r="F83" s="25" t="inlineStr">
        <is>
          <t>플랫폼</t>
        </is>
      </c>
      <c r="G83" s="25" t="inlineStr">
        <is>
          <t>생체지표</t>
        </is>
      </c>
      <c r="H83" s="25" t="inlineStr">
        <is>
          <t>비만치료희망자, 전연령</t>
        </is>
      </c>
      <c r="I83" s="25" t="inlineStr">
        <is>
          <t>앱단독(원격의료)</t>
        </is>
      </c>
      <c r="J83" s="25" t="inlineStr">
        <is>
          <t>비대면지료, 다이어트약처방</t>
        </is>
      </c>
      <c r="K83" s="25" t="inlineStr">
        <is>
          <t>건강매거진, 약배송, 병원예약</t>
        </is>
      </c>
      <c r="L83" s="25" t="inlineStr">
        <is>
          <t>Two-sided Market(양면시장)</t>
        </is>
      </c>
      <c r="M83" s="25" t="inlineStr">
        <is>
          <t>의사-환자 비대면 진료 매칭 후 다이어트 약 처방, 배송 및 건강정보 콘텐츠 병행</t>
        </is>
      </c>
      <c r="N83" s="14" t="n">
        <v>46229</v>
      </c>
      <c r="O83" s="14" t="n">
        <v>46229</v>
      </c>
      <c r="P83" s="23">
        <f>IF(L83="","",C83&amp;"|"&amp;D83&amp;"|"&amp;H83&amp;"|"&amp;I83&amp;"|"&amp;L83)</f>
        <v/>
      </c>
      <c r="Q83" s="23">
        <f>IF(P83="",0,IF(COUNTIF($P$2:P83,P83)=1,1,0))</f>
        <v/>
      </c>
      <c r="R83" s="23">
        <f>IF(Q83=1,SUM($Q$2:Q83),"")</f>
        <v/>
      </c>
      <c r="S83" s="38" t="inlineStr">
        <is>
          <t>2024년 12월 다이어트 주사제 비대면 처방 금지 이후 처방 기능이 막혀 '가격비교·병원예약' 중심으로 전환, 약값·진료비는 병원/약국별 편차 큼</t>
        </is>
      </c>
      <c r="T83" s="38" t="inlineStr">
        <is>
          <t>앱 무료.</t>
        </is>
      </c>
    </row>
    <row r="84" ht="15.75" customHeight="1" s="42">
      <c r="A84" s="29" t="inlineStr">
        <is>
          <t>CP083</t>
        </is>
      </c>
      <c r="B84" s="25" t="inlineStr">
        <is>
          <t>키니케어</t>
        </is>
      </c>
      <c r="C84" s="25" t="inlineStr">
        <is>
          <t>식단</t>
        </is>
      </c>
      <c r="D84" s="25" t="inlineStr">
        <is>
          <t>데이터기록관리</t>
        </is>
      </c>
      <c r="E84" s="25" t="inlineStr">
        <is>
          <t>한국</t>
        </is>
      </c>
      <c r="F84" s="25" t="inlineStr">
        <is>
          <t>일반경쟁자</t>
        </is>
      </c>
      <c r="G84" s="25" t="inlineStr">
        <is>
          <t>생체지표</t>
        </is>
      </c>
      <c r="H84" s="25" t="inlineStr">
        <is>
          <t>암환자</t>
        </is>
      </c>
      <c r="I84" s="25" t="inlineStr">
        <is>
          <t>앱단독(병원연계)</t>
        </is>
      </c>
      <c r="J84" s="25" t="inlineStr">
        <is>
          <t>식단기록,영양분석</t>
        </is>
      </c>
      <c r="K84" s="25" t="inlineStr">
        <is>
          <t>질환별관리,병원연계교육콘텐츠</t>
        </is>
      </c>
      <c r="L84" s="25" t="inlineStr">
        <is>
          <t>Digitization(디지털전환)</t>
        </is>
      </c>
      <c r="M84" s="25" t="inlineStr">
        <is>
          <t>병원 영양팀과 연계된 암환자 전용 영양 관리 앱. 원재료 분석시스템(K-FIAS) 기반</t>
        </is>
      </c>
      <c r="N84" s="14" t="n">
        <v>46229</v>
      </c>
      <c r="O84" s="14" t="n">
        <v>46229</v>
      </c>
      <c r="P84" s="23">
        <f>IF(L84="","",C84&amp;"|"&amp;D84&amp;"|"&amp;H84&amp;"|"&amp;I84&amp;"|"&amp;L84)</f>
        <v/>
      </c>
      <c r="Q84" s="23">
        <f>IF(P84="",0,IF(COUNTIF($P$2:P84,P84)=1,1,0))</f>
        <v/>
      </c>
      <c r="R84" s="23">
        <f>IF(Q84=1,SUM($Q$2:Q84),"")</f>
        <v/>
      </c>
      <c r="S84" s="38" t="inlineStr">
        <is>
          <t>비대면진료 앱이 아니라 강남세브란스 협력 '암환자 영양관리' 특화 앱으로, 범용 다이어트/체중감량 용도가 아님</t>
        </is>
      </c>
      <c r="T84" s="38" t="inlineStr">
        <is>
          <t>앱 무료. 수익은 앱 내 영양 식품 판매 및 병원 B2B 솔루션. 소비자 구독 티어 없음</t>
        </is>
      </c>
    </row>
    <row r="85" ht="15.75" customHeight="1" s="42">
      <c r="A85" s="29" t="inlineStr">
        <is>
          <t>CP084</t>
        </is>
      </c>
      <c r="B85" s="25" t="inlineStr">
        <is>
          <t>밀리그램(Mealgram)</t>
        </is>
      </c>
      <c r="C85" s="25" t="inlineStr">
        <is>
          <t>식단</t>
        </is>
      </c>
      <c r="D85" s="25" t="inlineStr">
        <is>
          <t>정보제공</t>
        </is>
      </c>
      <c r="E85" s="25" t="inlineStr">
        <is>
          <t>한국</t>
        </is>
      </c>
      <c r="F85" s="25" t="inlineStr">
        <is>
          <t>일반경쟁자</t>
        </is>
      </c>
      <c r="G85" s="25" t="inlineStr">
        <is>
          <t>라이프스타일</t>
        </is>
      </c>
      <c r="H85" s="25" t="inlineStr">
        <is>
          <t>식단관리자,20~30대</t>
        </is>
      </c>
      <c r="I85" s="25" t="inlineStr">
        <is>
          <t>앱단독</t>
        </is>
      </c>
      <c r="J85" s="25" t="inlineStr">
        <is>
          <t>AI식단인식, 영양분석</t>
        </is>
      </c>
      <c r="K85" s="25" t="inlineStr">
        <is>
          <t>칼로리계산, 사진기록</t>
        </is>
      </c>
      <c r="L85" s="25" t="inlineStr">
        <is>
          <t>Freemium(프리미엄)</t>
        </is>
      </c>
      <c r="M85" s="25" t="inlineStr">
        <is>
          <t>식단 사진 촬영 시 AI가 음식을 인식해 영양성분 및 칼로리 정보 제공</t>
        </is>
      </c>
      <c r="N85" s="14" t="n">
        <v>46230</v>
      </c>
      <c r="O85" s="14" t="n">
        <v>46229</v>
      </c>
      <c r="P85" s="23">
        <f>IF(L85="","",C85&amp;"|"&amp;D85&amp;"|"&amp;H85&amp;"|"&amp;I85&amp;"|"&amp;L85)</f>
        <v/>
      </c>
      <c r="Q85" s="23">
        <f>IF(P85="",0,IF(COUNTIF($P$2:P85,P85)=1,1,0))</f>
        <v/>
      </c>
      <c r="R85" s="23">
        <f>IF(Q85=1,SUM($Q$2:Q85),"")</f>
        <v/>
      </c>
      <c r="S85" s="38" t="inlineStr">
        <is>
          <t>기록 기능 중심으로 차별화된 코칭·수익모델 약함</t>
        </is>
      </c>
      <c r="T85" s="38" t="inlineStr">
        <is>
          <t>앱 기본 무료(기록·계획·공유). 유료 구독-개월 이용권: ₩9,9006개월 이용권: ₩29,0001년 이용권: ₩19,800평생 요금제: ₩38,900</t>
        </is>
      </c>
    </row>
    <row r="86" ht="15.75" customHeight="1" s="42">
      <c r="A86" s="29" t="inlineStr">
        <is>
          <t>CP085</t>
        </is>
      </c>
      <c r="B86" s="25" t="inlineStr">
        <is>
          <t>파스타(Pasta)</t>
        </is>
      </c>
      <c r="C86" s="25" t="inlineStr">
        <is>
          <t>식단</t>
        </is>
      </c>
      <c r="D86" s="25" t="inlineStr">
        <is>
          <t>개입치료</t>
        </is>
      </c>
      <c r="E86" s="25" t="inlineStr">
        <is>
          <t>한국</t>
        </is>
      </c>
      <c r="F86" s="25" t="inlineStr">
        <is>
          <t>플랫폼</t>
        </is>
      </c>
      <c r="G86" s="25" t="inlineStr">
        <is>
          <t>생체지표</t>
        </is>
      </c>
      <c r="H86" s="25" t="inlineStr">
        <is>
          <t>당뇨환자, 식단관리</t>
        </is>
      </c>
      <c r="I86" s="25" t="inlineStr">
        <is>
          <t>웨어러블연동</t>
        </is>
      </c>
      <c r="J86" s="25" t="inlineStr">
        <is>
          <t>혈당관리, 체중관리</t>
        </is>
      </c>
      <c r="K86" s="25" t="inlineStr">
        <is>
          <t>비전AI식사기록, 병원연계리포트</t>
        </is>
      </c>
      <c r="L86" s="25" t="inlineStr">
        <is>
          <t>Sensor As A Service(센서서비스)</t>
        </is>
      </c>
      <c r="M86" s="25" t="inlineStr">
        <is>
          <t>CGM 센서와 연동하여 실시간 혈당 수치 및 식단 가이드 제공, 혈압,비만관리로 생태계 확장</t>
        </is>
      </c>
      <c r="N86" s="14" t="n">
        <v>46229</v>
      </c>
      <c r="O86" s="14" t="n">
        <v>46229</v>
      </c>
      <c r="P86" s="23">
        <f>IF(L86="","",C86&amp;"|"&amp;D86&amp;"|"&amp;H86&amp;"|"&amp;I86&amp;"|"&amp;L86)</f>
        <v/>
      </c>
      <c r="Q86" s="23">
        <f>IF(P86="",0,IF(COUNTIF($P$2:P86,P86)=1,1,0))</f>
        <v/>
      </c>
      <c r="R86" s="23">
        <f>IF(Q86=1,SUM($Q$2:Q86),"")</f>
        <v/>
      </c>
      <c r="S86" s="38" t="inlineStr">
        <is>
          <t>핵심 기능이 연속혈당측정기(CGM) 센서 착용 전제라 센서 미보유 시 기능 제한, 앱 자체는 의료기기 아님</t>
        </is>
      </c>
      <c r="T86" s="38" t="inlineStr">
        <is>
          <t>앱 자체는 무료. 전 기능 사용에 별도 CGM 센서 구매 필요</t>
        </is>
      </c>
    </row>
    <row r="87" ht="15.75" customHeight="1" s="42">
      <c r="A87" s="29" t="inlineStr">
        <is>
          <t>CP086</t>
        </is>
      </c>
      <c r="B87" s="25" t="inlineStr">
        <is>
          <t>밸런스프렌즈</t>
        </is>
      </c>
      <c r="C87" s="25" t="inlineStr">
        <is>
          <t>식단</t>
        </is>
      </c>
      <c r="D87" s="25" t="inlineStr">
        <is>
          <t>개입치료</t>
        </is>
      </c>
      <c r="E87" s="25" t="inlineStr">
        <is>
          <t>한국</t>
        </is>
      </c>
      <c r="F87" s="25" t="inlineStr">
        <is>
          <t>일반경쟁자</t>
        </is>
      </c>
      <c r="G87" s="25" t="inlineStr">
        <is>
          <t>라이프스타일</t>
        </is>
      </c>
      <c r="H87" s="25" t="inlineStr">
        <is>
          <t>다이어터, 여성, 10~30대</t>
        </is>
      </c>
      <c r="I87" s="25" t="inlineStr">
        <is>
          <t>앱단독</t>
        </is>
      </c>
      <c r="J87" s="25" t="inlineStr">
        <is>
          <t>챗봇코칭, 식단피드백</t>
        </is>
      </c>
      <c r="K87" s="25" t="inlineStr">
        <is>
          <t>애플헬스연동, 커뮤니티, 커머스</t>
        </is>
      </c>
      <c r="L87" s="25" t="inlineStr">
        <is>
          <t>Freemium(프리미엄)</t>
        </is>
      </c>
      <c r="M87" s="25" t="inlineStr">
        <is>
          <t>다양한 캐릭터 챗봇이 심리적 응원/질책까지 제공하는 것이 차별점. 열정팩토리 운</t>
        </is>
      </c>
      <c r="N87" s="14" t="n">
        <v>46229</v>
      </c>
      <c r="O87" s="14" t="n">
        <v>46229</v>
      </c>
      <c r="P87" s="23">
        <f>IF(L87="","",C87&amp;"|"&amp;D87&amp;"|"&amp;H87&amp;"|"&amp;I87&amp;"|"&amp;L87)</f>
        <v/>
      </c>
      <c r="Q87" s="23">
        <f>IF(P87="",0,IF(COUNTIF($P$2:P87,P87)=1,1,0))</f>
        <v/>
      </c>
      <c r="R87" s="23">
        <f>IF(Q87=1,SUM($Q$2:Q87),"")</f>
        <v/>
      </c>
      <c r="S87" s="38" t="inlineStr">
        <is>
          <t>챗봇 캐릭터 코칭이 핵심이나 정밀 의료·전문 코칭 아님, 명확한 유료화 모델 약함</t>
        </is>
      </c>
      <c r="T87" s="38" t="inlineStr">
        <is>
          <t>무료.필수 결제없음.</t>
        </is>
      </c>
    </row>
    <row r="88" ht="15.75" customHeight="1" s="42">
      <c r="A88" s="29" t="inlineStr">
        <is>
          <t>CP087</t>
        </is>
      </c>
      <c r="B88" s="25" t="inlineStr">
        <is>
          <t>눔(Noom)</t>
        </is>
      </c>
      <c r="C88" s="25" t="inlineStr">
        <is>
          <t>식단</t>
        </is>
      </c>
      <c r="D88" s="25" t="inlineStr">
        <is>
          <t>개입치료</t>
        </is>
      </c>
      <c r="E88" s="25" t="inlineStr">
        <is>
          <t>미국</t>
        </is>
      </c>
      <c r="F88" s="25" t="inlineStr">
        <is>
          <t>카테고리리더</t>
        </is>
      </c>
      <c r="G88" s="25" t="inlineStr">
        <is>
          <t>라이프스타일</t>
        </is>
      </c>
      <c r="H88" s="25" t="inlineStr">
        <is>
          <t>다이어터, 20~40대</t>
        </is>
      </c>
      <c r="I88" s="25" t="inlineStr">
        <is>
          <t>앱단독</t>
        </is>
      </c>
      <c r="J88" s="25" t="inlineStr">
        <is>
          <t>식단기록, 체중관리</t>
        </is>
      </c>
      <c r="K88" s="25" t="inlineStr">
        <is>
          <t>커뮤니티, 코칭</t>
        </is>
      </c>
      <c r="L88" s="25" t="inlineStr">
        <is>
          <t>Subscription(구독형)</t>
        </is>
      </c>
      <c r="M88" s="25" t="inlineStr">
        <is>
          <t>코스형 구독, 설문기반 1:1 코칭 배정, 행동심리학 기반 코칭 중심</t>
        </is>
      </c>
      <c r="N88" s="14" t="n">
        <v>46229</v>
      </c>
      <c r="O88" s="14" t="n">
        <v>46229</v>
      </c>
      <c r="P88" s="23">
        <f>IF(L88="","",C88&amp;"|"&amp;D88&amp;"|"&amp;H88&amp;"|"&amp;I88&amp;"|"&amp;L88)</f>
        <v/>
      </c>
      <c r="Q88" s="23">
        <f>IF(P88="",0,IF(COUNTIF($P$2:P88,P88)=1,1,0))</f>
        <v/>
      </c>
      <c r="R88" s="23">
        <f>IF(Q88=1,SUM($Q$2:Q88),"")</f>
        <v/>
      </c>
      <c r="S88" s="38" t="inlineStr">
        <is>
          <t>월단위 환산 시 고가이며 선결제·자동갱신 구조, 한국 현지 가격 정책 불명확</t>
        </is>
      </c>
      <c r="T88" s="38" t="inlineStr">
        <is>
          <t>월간 약 $70/월, 4개월 플랜 $169(월 약 $42.25), 연간 플랜 $209(월 환산 약 $17.42, 최저 월단가).</t>
        </is>
      </c>
    </row>
    <row r="89" ht="15.75" customHeight="1" s="42">
      <c r="A89" s="29" t="inlineStr">
        <is>
          <t>CP088</t>
        </is>
      </c>
      <c r="B89" s="25" t="inlineStr">
        <is>
          <t>MyFitnessPal</t>
        </is>
      </c>
      <c r="C89" s="25" t="inlineStr">
        <is>
          <t>식단</t>
        </is>
      </c>
      <c r="D89" s="25" t="inlineStr">
        <is>
          <t>데이터기록관리</t>
        </is>
      </c>
      <c r="E89" s="25" t="inlineStr">
        <is>
          <t>미국</t>
        </is>
      </c>
      <c r="F89" s="25" t="inlineStr">
        <is>
          <t>카테고리리더</t>
        </is>
      </c>
      <c r="G89" s="25" t="inlineStr">
        <is>
          <t>라이프스타일</t>
        </is>
      </c>
      <c r="H89" s="25" t="inlineStr">
        <is>
          <t>다이어터, 전연령</t>
        </is>
      </c>
      <c r="I89" s="25" t="inlineStr">
        <is>
          <t>앱단독</t>
        </is>
      </c>
      <c r="J89" s="25" t="inlineStr">
        <is>
          <t>칼로리기록, 바코드스캔</t>
        </is>
      </c>
      <c r="K89" s="25" t="inlineStr">
        <is>
          <t>방대한 음식 DB, 매크로 추적</t>
        </is>
      </c>
      <c r="L89" s="25" t="inlineStr">
        <is>
          <t>Freemium(프리미엄)</t>
        </is>
      </c>
      <c r="M89" s="25" t="inlineStr">
        <is>
          <t>무료로 수동 식품 기록 가능,고급 분석 및 광고제거 등은 유료 구독,  AI 코칭 기능은 약함</t>
        </is>
      </c>
      <c r="N89" s="14" t="n">
        <v>46229</v>
      </c>
      <c r="O89" s="14" t="n">
        <v>46229</v>
      </c>
      <c r="P89" s="23">
        <f>IF(L89="","",C89&amp;"|"&amp;D89&amp;"|"&amp;H89&amp;"|"&amp;I89&amp;"|"&amp;L89)</f>
        <v/>
      </c>
      <c r="Q89" s="23">
        <f>IF(P89="",0,IF(COUNTIF($P$2:P89,P89)=1,1,0))</f>
        <v/>
      </c>
      <c r="R89" s="23">
        <f>IF(Q89=1,SUM($Q$2:Q89),"")</f>
        <v/>
      </c>
      <c r="S89" s="38" t="inlineStr">
        <is>
          <t>바코드 스캔 등 핵심 기능이 유료로 이동, 지역별 가격 편차, 무료 DB 정확도 논란</t>
        </is>
      </c>
      <c r="T89" s="38" t="inlineStr">
        <is>
          <t>Free($0) / Premium $19.99/월 또는 $79.99/년 / Premium+ $24.99/월 또는 $99.99/년</t>
        </is>
      </c>
    </row>
    <row r="90" ht="15.75" customHeight="1" s="42">
      <c r="A90" s="29" t="inlineStr">
        <is>
          <t>CP089</t>
        </is>
      </c>
      <c r="B90" s="25" t="inlineStr">
        <is>
          <t>삼성헬스</t>
        </is>
      </c>
      <c r="C90" s="25" t="inlineStr">
        <is>
          <t>운동</t>
        </is>
      </c>
      <c r="D90" s="25" t="inlineStr">
        <is>
          <t>데이터기록관리</t>
        </is>
      </c>
      <c r="E90" s="25" t="inlineStr">
        <is>
          <t>한국</t>
        </is>
      </c>
      <c r="F90" s="25" t="inlineStr">
        <is>
          <t>플랫폼</t>
        </is>
      </c>
      <c r="G90" s="25" t="inlineStr">
        <is>
          <t>생체지표</t>
        </is>
      </c>
      <c r="H90" s="25" t="inlineStr">
        <is>
          <t>전연령</t>
        </is>
      </c>
      <c r="I90" s="25" t="inlineStr">
        <is>
          <t>웨어러블연동</t>
        </is>
      </c>
      <c r="J90" s="25" t="inlineStr">
        <is>
          <t>심박수, 걸음수, 수면</t>
        </is>
      </c>
      <c r="K90" s="25" t="inlineStr">
        <is>
          <t>스트레스지수</t>
        </is>
      </c>
      <c r="L90" s="25" t="inlineStr">
        <is>
          <t>Lock-in(락인)</t>
        </is>
      </c>
      <c r="M90" s="25" t="inlineStr">
        <is>
          <t>삼성 갤럭시 워치/폰 생태계에 통합, 타사 기기로 전환 시 데이터 이력 이전이 어려운 락인 구조</t>
        </is>
      </c>
      <c r="N90" s="14" t="n">
        <v>46229</v>
      </c>
      <c r="O90" s="14" t="n">
        <v>46229</v>
      </c>
      <c r="P90" s="23">
        <f>IF(L90="","",C90&amp;"|"&amp;D90&amp;"|"&amp;H90&amp;"|"&amp;I90&amp;"|"&amp;L90)</f>
        <v/>
      </c>
      <c r="Q90" s="23">
        <f>IF(P90="",0,IF(COUNTIF($P$2:P90,P90)=1,1,0))</f>
        <v/>
      </c>
      <c r="R90" s="23">
        <f>IF(Q90=1,SUM($Q$2:Q90),"")</f>
        <v/>
      </c>
      <c r="S90" s="38" t="inlineStr">
        <is>
          <t>삼성 기기 생태계 종속적이며 전문 코칭·개인화 깊이는 제한적</t>
        </is>
      </c>
      <c r="T90" s="38" t="inlineStr">
        <is>
          <t>무료</t>
        </is>
      </c>
    </row>
    <row r="91" ht="15.75" customHeight="1" s="42">
      <c r="A91" s="29" t="inlineStr">
        <is>
          <t>CP090</t>
        </is>
      </c>
      <c r="B91" s="25" t="inlineStr">
        <is>
          <t>손목닥터9988</t>
        </is>
      </c>
      <c r="C91" s="25" t="inlineStr">
        <is>
          <t>운동</t>
        </is>
      </c>
      <c r="D91" s="25" t="inlineStr">
        <is>
          <t>데이터기록관리</t>
        </is>
      </c>
      <c r="E91" s="25" t="inlineStr">
        <is>
          <t>한국</t>
        </is>
      </c>
      <c r="F91" s="25" t="inlineStr">
        <is>
          <t>플랫폼</t>
        </is>
      </c>
      <c r="G91" s="25" t="inlineStr">
        <is>
          <t>생체지표</t>
        </is>
      </c>
      <c r="H91" s="25" t="inlineStr">
        <is>
          <t>서울시민, 전연령</t>
        </is>
      </c>
      <c r="I91" s="25" t="inlineStr">
        <is>
          <t>앱단독+웨어러블 연동</t>
        </is>
      </c>
      <c r="J91" s="25" t="inlineStr">
        <is>
          <t>걸음수, 건강포인트</t>
        </is>
      </c>
      <c r="K91" s="25" t="inlineStr">
        <is>
          <t>AI트레이너(버추얼메이트), 보험연계혜택</t>
        </is>
      </c>
      <c r="L91" s="25" t="inlineStr">
        <is>
          <t>Leverage Customer Data(데이터활용)</t>
        </is>
      </c>
      <c r="M91" s="25" t="inlineStr">
        <is>
          <t>서울시 공공 헬스케어앱, 걸음수 등 건강데이터를 정책,보험료 할인 등에 활용하는 슈퍼앱 구조</t>
        </is>
      </c>
      <c r="N91" s="14" t="n">
        <v>46229</v>
      </c>
      <c r="O91" s="14" t="n">
        <v>46229</v>
      </c>
      <c r="P91" s="23">
        <f>IF(L91="","",C91&amp;"|"&amp;D91&amp;"|"&amp;H91&amp;"|"&amp;I91&amp;"|"&amp;L91)</f>
        <v/>
      </c>
      <c r="Q91" s="23">
        <f>IF(P91="",0,IF(COUNTIF($P$2:P91,P91)=1,1,0))</f>
        <v/>
      </c>
      <c r="R91" s="23">
        <f>IF(Q91=1,SUM($Q$2:Q91),"")</f>
        <v/>
      </c>
      <c r="S91" s="38" t="inlineStr">
        <is>
          <t>서울시민·특정 기기 연동 대상 한정 공공사업이라 범용성 낮고 포인트 정책 축소 논란</t>
        </is>
      </c>
      <c r="T91" s="38" t="inlineStr">
        <is>
          <t xml:space="preserve">무료. </t>
        </is>
      </c>
    </row>
    <row r="92" ht="15.75" customHeight="1" s="42">
      <c r="A92" s="29" t="inlineStr">
        <is>
          <t>CP091</t>
        </is>
      </c>
      <c r="B92" s="25" t="inlineStr">
        <is>
          <t>운동닥터</t>
        </is>
      </c>
      <c r="C92" s="25" t="inlineStr">
        <is>
          <t>운동</t>
        </is>
      </c>
      <c r="D92" s="25" t="inlineStr">
        <is>
          <t>매칭연결</t>
        </is>
      </c>
      <c r="E92" s="25" t="inlineStr">
        <is>
          <t>한국</t>
        </is>
      </c>
      <c r="F92" s="25" t="inlineStr">
        <is>
          <t>카테고리리더</t>
        </is>
      </c>
      <c r="G92" s="25" t="inlineStr">
        <is>
          <t>라이프스타일</t>
        </is>
      </c>
      <c r="H92" s="25" t="inlineStr">
        <is>
          <t>PT희망자, 전연령</t>
        </is>
      </c>
      <c r="I92" s="25" t="inlineStr">
        <is>
          <t>앱단독</t>
        </is>
      </c>
      <c r="J92" s="25" t="inlineStr">
        <is>
          <t>트레이너매칭, 가격비교</t>
        </is>
      </c>
      <c r="K92" s="25" t="inlineStr">
        <is>
          <t>자격/프로그램/리뷰, 체험예약</t>
        </is>
      </c>
      <c r="L92" s="25" t="inlineStr">
        <is>
          <t>Two-sided Market(양면시장)</t>
        </is>
      </c>
      <c r="M92" s="25" t="inlineStr">
        <is>
          <t>동네 헬스장 및 트레이너 정보를 비교하여 매칭, 최저가 보장, 1회 체험 예약 기능 제공. 트레이너용 회원관리 SaaS 제공.</t>
        </is>
      </c>
      <c r="N92" s="14" t="n">
        <v>46229</v>
      </c>
      <c r="O92" s="14" t="n">
        <v>46229</v>
      </c>
      <c r="P92" s="23">
        <f>IF(L92="","",C92&amp;"|"&amp;D92&amp;"|"&amp;H92&amp;"|"&amp;I92&amp;"|"&amp;L92)</f>
        <v/>
      </c>
      <c r="Q92" s="23">
        <f>IF(P92="",0,IF(COUNTIF($P$2:P92,P92)=1,1,0))</f>
        <v/>
      </c>
      <c r="R92" s="23">
        <f>IF(Q92=1,SUM($Q$2:Q92),"")</f>
        <v/>
      </c>
      <c r="S92" s="38" t="inlineStr">
        <is>
          <t>오프라인 PT 중개(정보 비대칭 해소)에 그쳐 자체 콘텐츠·리텐션 약함, 거래는 트레이너 의존</t>
        </is>
      </c>
      <c r="T92" s="38" t="inlineStr">
        <is>
          <t>앱 무료. 1회 체험 레슨 무료</t>
        </is>
      </c>
    </row>
    <row r="93" ht="15.75" customHeight="1" s="42">
      <c r="A93" s="29" t="inlineStr">
        <is>
          <t>CP092</t>
        </is>
      </c>
      <c r="B93" s="25" t="inlineStr">
        <is>
          <t>번핏(BurnFit)</t>
        </is>
      </c>
      <c r="C93" s="25" t="inlineStr">
        <is>
          <t>운동</t>
        </is>
      </c>
      <c r="D93" s="25" t="inlineStr">
        <is>
          <t>데이터기록관리</t>
        </is>
      </c>
      <c r="E93" s="25" t="inlineStr">
        <is>
          <t>한국</t>
        </is>
      </c>
      <c r="F93" s="25" t="inlineStr">
        <is>
          <t>카테고리리더</t>
        </is>
      </c>
      <c r="G93" s="25" t="inlineStr">
        <is>
          <t>라이프스타일</t>
        </is>
      </c>
      <c r="H93" s="25" t="inlineStr">
        <is>
          <t>헬스이용자, 웨이트트레이닝</t>
        </is>
      </c>
      <c r="I93" s="25" t="inlineStr">
        <is>
          <t>앱단독+웨어러블연동</t>
        </is>
      </c>
      <c r="J93" s="25" t="inlineStr">
        <is>
          <t>운동기록, 루틴관리 ,1RM 계산</t>
        </is>
      </c>
      <c r="K93" s="25" t="inlineStr">
        <is>
          <t>애플워치연동, 바벨서포터, 상세성장리포트, 식단관리</t>
        </is>
      </c>
      <c r="L93" s="25" t="inlineStr">
        <is>
          <t>Freemium(프리미엄)</t>
        </is>
      </c>
      <c r="M93" s="25" t="inlineStr">
        <is>
          <t xml:space="preserve">운영사: Bunnit. Forbes Health 'Best Fitness App' 5년 연속 선정, 글로벌 누적 사용자 200만+, AI 사진 인식 식단 탄단지 분석, 슈퍼 세트, 드랍 세트 설정 및 애플워치 실시간 연동, 상세 성장 리포트 &amp; 1RM 분석 그래프 </t>
        </is>
      </c>
      <c r="N93" s="14" t="n">
        <v>46238</v>
      </c>
      <c r="O93" s="14" t="n">
        <v>46238</v>
      </c>
      <c r="P93" s="23">
        <f>IF(L93="","",C93&amp;"|"&amp;D93&amp;"|"&amp;H93&amp;"|"&amp;I93&amp;"|"&amp;L93)</f>
        <v/>
      </c>
      <c r="Q93" s="23">
        <f>IF(P93="",0,IF(COUNTIF($P$2:P93,P93)=1,1,0))</f>
        <v/>
      </c>
      <c r="R93" s="23">
        <f>IF(Q93=1,SUM($Q$2:Q93),"")</f>
        <v/>
      </c>
      <c r="S93" s="38" t="inlineStr">
        <is>
          <t>무료 버전은 루틴 2개 등으로 기능 제한, 코칭이 아닌 기록·분석 중심이라 실행 강제력 없음</t>
        </is>
      </c>
      <c r="T93" s="38" t="inlineStr">
        <is>
          <t>기본 기록 무료/ pro 구독료: 월 약 $4.99 / 연 약 $29.99</t>
        </is>
      </c>
    </row>
    <row r="94" ht="15.75" customHeight="1" s="42">
      <c r="A94" s="29" t="inlineStr">
        <is>
          <t>CP093</t>
        </is>
      </c>
      <c r="B94" s="25" t="inlineStr">
        <is>
          <t>Strava</t>
        </is>
      </c>
      <c r="C94" s="25" t="inlineStr">
        <is>
          <t>운동</t>
        </is>
      </c>
      <c r="D94" s="25" t="inlineStr">
        <is>
          <t>데이터기록관리</t>
        </is>
      </c>
      <c r="E94" s="25" t="inlineStr">
        <is>
          <t>미국</t>
        </is>
      </c>
      <c r="F94" s="25" t="inlineStr">
        <is>
          <t>카테고리리더</t>
        </is>
      </c>
      <c r="G94" s="25" t="inlineStr">
        <is>
          <t>생체지표</t>
        </is>
      </c>
      <c r="H94" s="25" t="inlineStr">
        <is>
          <t>러너, 사이클리스트</t>
        </is>
      </c>
      <c r="I94" s="25" t="inlineStr">
        <is>
          <t xml:space="preserve">웨어러블연동 </t>
        </is>
      </c>
      <c r="J94" s="25" t="inlineStr">
        <is>
          <t>GPS기록, 루트분석</t>
        </is>
      </c>
      <c r="K94" s="25" t="inlineStr">
        <is>
          <t>세그먼트, 커뮤니티, 챌린지</t>
        </is>
      </c>
      <c r="L94" s="25" t="inlineStr">
        <is>
          <t>Freemium(프리미엄)</t>
        </is>
      </c>
      <c r="M94" s="25" t="inlineStr">
        <is>
          <t>무료로  GPS 활동 기록 가능, 세그먼트 순위, 고급 분석 등은 유료 구독</t>
        </is>
      </c>
      <c r="N94" s="14" t="n">
        <v>46229</v>
      </c>
      <c r="O94" s="14" t="n">
        <v>46229</v>
      </c>
      <c r="P94" s="23">
        <f>IF(L94="","",C94&amp;"|"&amp;D94&amp;"|"&amp;H94&amp;"|"&amp;I94&amp;"|"&amp;L94)</f>
        <v/>
      </c>
      <c r="Q94" s="23">
        <f>IF(P94="",0,IF(COUNTIF($P$2:P94,P94)=1,1,0))</f>
        <v/>
      </c>
      <c r="R94" s="23">
        <f>IF(Q94=1,SUM($Q$2:Q94),"")</f>
        <v/>
      </c>
      <c r="S94" s="38" t="inlineStr">
        <is>
          <t>무료 기능 축소로 핵심 분석이 유료화, 국가별 가격 편차 큼</t>
        </is>
      </c>
      <c r="T94" s="38" t="inlineStr">
        <is>
          <t>무료 티어 + 구독 월 $11.99 또는 연 $79.99, 가족 플랜 연 $139.99</t>
        </is>
      </c>
    </row>
    <row r="95" ht="15.75" customHeight="1" s="42">
      <c r="A95" s="29" t="inlineStr">
        <is>
          <t>CP094</t>
        </is>
      </c>
      <c r="B95" s="25" t="inlineStr">
        <is>
          <t>콰드(QUAT)</t>
        </is>
      </c>
      <c r="C95" s="25" t="inlineStr">
        <is>
          <t>운동</t>
        </is>
      </c>
      <c r="D95" s="25" t="inlineStr">
        <is>
          <t>정보제공</t>
        </is>
      </c>
      <c r="E95" s="25" t="inlineStr">
        <is>
          <t xml:space="preserve"> 한국</t>
        </is>
      </c>
      <c r="F95" s="25" t="inlineStr">
        <is>
          <t>일반경쟁자</t>
        </is>
      </c>
      <c r="G95" s="25" t="inlineStr">
        <is>
          <t>라이프스타일</t>
        </is>
      </c>
      <c r="H95" s="25" t="inlineStr">
        <is>
          <t>홈트족, 다이어터</t>
        </is>
      </c>
      <c r="I95" s="25" t="inlineStr">
        <is>
          <t>앱단독</t>
        </is>
      </c>
      <c r="J95" s="25" t="inlineStr">
        <is>
          <t>홈트영상콘텐츠, 다이어트식단</t>
        </is>
      </c>
      <c r="K95" s="25" t="inlineStr">
        <is>
          <t>포인트리워드, 콰트몰(간식/영양제)</t>
        </is>
      </c>
      <c r="L95" s="25" t="inlineStr">
        <is>
          <t>Freemium(프리미엄)</t>
        </is>
      </c>
      <c r="M95" s="25" t="inlineStr">
        <is>
          <t>필라테스,유산소,요가,자세교정 등 다양한 홈트 콘텐츠 무료 제공. 운동 포인트로 성취감 부여. 스마트체중계 연동</t>
        </is>
      </c>
      <c r="N95" s="14" t="n">
        <v>46229</v>
      </c>
      <c r="O95" s="14" t="n">
        <v>46229</v>
      </c>
      <c r="P95" s="23">
        <f>IF(L95="","",C95&amp;"|"&amp;D95&amp;"|"&amp;H95&amp;"|"&amp;I95&amp;"|"&amp;L95)</f>
        <v/>
      </c>
      <c r="Q95" s="23">
        <f>IF(P95="",0,IF(COUNTIF($P$2:P95,P95)=1,1,0))</f>
        <v/>
      </c>
      <c r="R95" s="23">
        <f>IF(Q95=1,SUM($Q$2:Q95),"")</f>
        <v/>
      </c>
      <c r="S95" s="38" t="inlineStr">
        <is>
          <t>영상 스트리밍 홈트 구독으로 실시간 1:1 코칭·개인화는 제한, 기구 판매 연계 의존</t>
        </is>
      </c>
      <c r="T95" s="38" t="inlineStr">
        <is>
          <t>정가 월 23,100원, 제휴 할인(피클플러스 등) 시 월 13,700원 수준(약 41% 할인)</t>
        </is>
      </c>
    </row>
    <row r="96" ht="15.75" customHeight="1" s="42">
      <c r="A96" s="29" t="inlineStr">
        <is>
          <t>CP095</t>
        </is>
      </c>
      <c r="B96" s="25" t="inlineStr">
        <is>
          <t>플랜핏(Planfit)</t>
        </is>
      </c>
      <c r="C96" s="25" t="inlineStr">
        <is>
          <t>운동</t>
        </is>
      </c>
      <c r="D96" s="25" t="inlineStr">
        <is>
          <t>개입치료</t>
        </is>
      </c>
      <c r="E96" s="25" t="inlineStr">
        <is>
          <t xml:space="preserve"> 한국</t>
        </is>
      </c>
      <c r="F96" s="25" t="inlineStr">
        <is>
          <t>카테고리리더</t>
        </is>
      </c>
      <c r="G96" s="25" t="inlineStr">
        <is>
          <t>라이프스타일</t>
        </is>
      </c>
      <c r="H96" s="25" t="inlineStr">
        <is>
          <t>PT희망자, 헬스초보자</t>
        </is>
      </c>
      <c r="I96" s="25" t="inlineStr">
        <is>
          <t>앱단독</t>
        </is>
      </c>
      <c r="J96" s="25" t="inlineStr">
        <is>
          <t>AI운동루틴, 영상코칭</t>
        </is>
      </c>
      <c r="K96" s="25" t="inlineStr">
        <is>
          <t>전국헬스장기구DB, 커뮤니티</t>
        </is>
      </c>
      <c r="L96" s="25" t="inlineStr">
        <is>
          <t>Freemium(프리미엄)</t>
        </is>
      </c>
      <c r="M96" s="25" t="inlineStr">
        <is>
          <t xml:space="preserve">"PT 없이도 PT 수준" 표방. 전국 헬스장 기구 데이터 기반 맞춤 루틴을 AI가 즉시 생성. 무료 시작 후 구독으로 전환 </t>
        </is>
      </c>
      <c r="N96" s="14" t="n">
        <v>46229</v>
      </c>
      <c r="O96" s="14" t="n">
        <v>46229</v>
      </c>
      <c r="P96" s="23">
        <f>IF(L96="","",C96&amp;"|"&amp;D96&amp;"|"&amp;H96&amp;"|"&amp;I96&amp;"|"&amp;L96)</f>
        <v/>
      </c>
      <c r="Q96" s="23">
        <f>IF(P96="",0,IF(COUNTIF($P$2:P96,P96)=1,1,0))</f>
        <v/>
      </c>
      <c r="R96" s="23">
        <f>IF(Q96=1,SUM($Q$2:Q96),"")</f>
        <v/>
      </c>
      <c r="S96" s="38" t="inlineStr">
        <is>
          <t>초보자 루틴 자동화 강점이나 중급 이상 심화·대면 코칭 부재, 유료 전환 유인 약함</t>
        </is>
      </c>
      <c r="T96" s="38" t="inlineStr">
        <is>
          <t>기본 무료(무제한 루틴 추천·기록). 월간 구독: 약 11,900원 / 월연간 구독 (정가): 약 64,900 ~ 69,900원</t>
        </is>
      </c>
    </row>
    <row r="97" ht="15.75" customHeight="1" s="42">
      <c r="A97" s="29" t="inlineStr">
        <is>
          <t>CP096</t>
        </is>
      </c>
      <c r="B97" s="25" t="inlineStr">
        <is>
          <t>액서사이트 케어(아이픽셀)</t>
        </is>
      </c>
      <c r="C97" s="25" t="inlineStr">
        <is>
          <t>운동</t>
        </is>
      </c>
      <c r="D97" s="25" t="inlineStr">
        <is>
          <t>개입치료</t>
        </is>
      </c>
      <c r="E97" s="25" t="inlineStr">
        <is>
          <t>한국</t>
        </is>
      </c>
      <c r="F97" s="25" t="inlineStr">
        <is>
          <t>카테고리리더</t>
        </is>
      </c>
      <c r="G97" s="25" t="inlineStr">
        <is>
          <t>생체지표</t>
        </is>
      </c>
      <c r="H97" s="25" t="inlineStr">
        <is>
          <t>근골격계질환자, 수술후재활환자</t>
        </is>
      </c>
      <c r="I97" s="25" t="inlineStr">
        <is>
          <t>앱단독+병원연계(스마트TV포함)</t>
        </is>
      </c>
      <c r="J97" s="25" t="inlineStr">
        <is>
          <t>AI운동분석, 의사처방연계</t>
        </is>
      </c>
      <c r="K97" s="25" t="inlineStr">
        <is>
          <t>병원리포트, 글로벌 보급(LG스마트TV)</t>
        </is>
      </c>
      <c r="L97" s="25" t="inlineStr">
        <is>
          <t>Digitization(디지털전환)</t>
        </is>
      </c>
      <c r="M97" s="25" t="inlineStr">
        <is>
          <t>의사가 처방한 재활운동을 AI가 관절 움직임,정확도를 실시간 분석,피드백. 강남 세브란스 등 주요 병원 도입. LG 스마트 TV 탑재로 해외 15만명 사용. 유사 경쟁사로 링닥(Ringdoc) 존재</t>
        </is>
      </c>
      <c r="N97" s="14" t="n">
        <v>46229</v>
      </c>
      <c r="O97" s="14" t="n">
        <v>46229</v>
      </c>
      <c r="P97" s="23">
        <f>IF(L97="","",C97&amp;"|"&amp;D97&amp;"|"&amp;H97&amp;"|"&amp;I97&amp;"|"&amp;L97)</f>
        <v/>
      </c>
      <c r="Q97" s="23">
        <f>IF(P97="",0,IF(COUNTIF($P$2:P97,P97)=1,1,0))</f>
        <v/>
      </c>
      <c r="R97" s="23">
        <f>IF(Q97=1,SUM($Q$2:Q97),"")</f>
        <v/>
      </c>
      <c r="S97" s="38" t="inlineStr">
        <is>
          <t>병원 처방 기반 B2B(SaaS/API)로 현재 소비자 직접 과금 없음, 유료화는 인허가·임상 후로 예정</t>
        </is>
      </c>
      <c r="T97" s="38" t="inlineStr">
        <is>
          <t>현재 병원 내 사용은 무료 단계(인허가 전). 인허가 후 월 구독제·기업 임직원 건강관리 시장 확대 계획.</t>
        </is>
      </c>
    </row>
    <row r="98" ht="15.75" customHeight="1" s="42">
      <c r="A98" s="29" t="inlineStr">
        <is>
          <t>CP097</t>
        </is>
      </c>
      <c r="B98" s="25" t="inlineStr">
        <is>
          <t>눈운동:VisionUp</t>
        </is>
      </c>
      <c r="C98" s="25" t="inlineStr">
        <is>
          <t>운동</t>
        </is>
      </c>
      <c r="D98" s="25" t="inlineStr">
        <is>
          <t>개입치료</t>
        </is>
      </c>
      <c r="E98" s="25" t="inlineStr">
        <is>
          <t>미국</t>
        </is>
      </c>
      <c r="F98" s="25" t="inlineStr">
        <is>
          <t>일반경쟁자</t>
        </is>
      </c>
      <c r="G98" s="25" t="inlineStr">
        <is>
          <t>라이프스타일</t>
        </is>
      </c>
      <c r="H98" s="25" t="inlineStr">
        <is>
          <t>안구피로, 시력관리관심층</t>
        </is>
      </c>
      <c r="I98" s="25" t="inlineStr">
        <is>
          <t>앱단독</t>
        </is>
      </c>
      <c r="J98" s="25" t="inlineStr">
        <is>
          <t>눈운동루틴, 콘텐츠</t>
        </is>
      </c>
      <c r="K98" s="25" t="inlineStr">
        <is>
          <t>습관관리, 교육콘텐츠</t>
        </is>
      </c>
      <c r="L98" s="25" t="inlineStr">
        <is>
          <t>Freemium(프리미엄)</t>
        </is>
      </c>
      <c r="M98" s="25" t="inlineStr">
        <is>
          <t>눈 피로 완화, 시력 관리를 위한 루틴형 개입 콘텐츠 제공. 기본 무료+프리미엄 확장 추정</t>
        </is>
      </c>
      <c r="N98" s="14" t="n">
        <v>46229</v>
      </c>
      <c r="O98" s="14" t="n">
        <v>46229</v>
      </c>
      <c r="P98" s="23">
        <f>IF(L98="","",C98&amp;"|"&amp;D98&amp;"|"&amp;H98&amp;"|"&amp;I98&amp;"|"&amp;L98)</f>
        <v/>
      </c>
      <c r="Q98" s="23">
        <f>IF(P98="",0,IF(COUNTIF($P$2:P98,P98)=1,1,0))</f>
        <v/>
      </c>
      <c r="R98" s="23">
        <f>IF(Q98=1,SUM($Q$2:Q98),"")</f>
        <v/>
      </c>
      <c r="S98" s="38" t="inlineStr">
        <is>
          <t>안구운동이라는 협소한 니치, 광고형 무료 후 유료 전환 구조</t>
        </is>
      </c>
      <c r="T98" s="38" t="inlineStr">
        <is>
          <t>무료.월간(1.99~2.99달러) ,연간 (12.99 ~ 17.99 달러)</t>
        </is>
      </c>
    </row>
    <row r="99" ht="15.75" customHeight="1" s="42">
      <c r="A99" s="29" t="inlineStr">
        <is>
          <t>CP098</t>
        </is>
      </c>
      <c r="B99" s="25" t="inlineStr">
        <is>
          <t>야핏</t>
        </is>
      </c>
      <c r="C99" s="25" t="inlineStr">
        <is>
          <t>운동</t>
        </is>
      </c>
      <c r="D99" s="25" t="inlineStr">
        <is>
          <t>정보제공</t>
        </is>
      </c>
      <c r="E99" s="25" t="inlineStr">
        <is>
          <t>한국</t>
        </is>
      </c>
      <c r="F99" s="25" t="inlineStr">
        <is>
          <t>일반경쟁자</t>
        </is>
      </c>
      <c r="G99" s="25" t="inlineStr">
        <is>
          <t>라이프스타일</t>
        </is>
      </c>
      <c r="H99" s="25" t="inlineStr">
        <is>
          <t>홈트족, 전연령</t>
        </is>
      </c>
      <c r="I99" s="25" t="inlineStr">
        <is>
          <t>웨어러블연동(스마트사이클)</t>
        </is>
      </c>
      <c r="J99" s="25" t="inlineStr">
        <is>
          <t>홈트콘텐츠, M2E마일리지</t>
        </is>
      </c>
      <c r="K99" s="25" t="inlineStr">
        <is>
          <t>스마트사이클, 걷기/라이딩리워드</t>
        </is>
      </c>
      <c r="L99" s="25" t="inlineStr">
        <is>
          <t>Freemium(프리미엄)</t>
        </is>
      </c>
      <c r="M99" s="25" t="inlineStr">
        <is>
          <t>야나두의 피트니스 확장. 스마트 사이클(야핏 사이클) 콘텐츠 구독+별도 M2E 리워드 앱 '야핏무브 운영'</t>
        </is>
      </c>
      <c r="N99" s="14" t="n">
        <v>46229</v>
      </c>
      <c r="O99" s="14" t="n">
        <v>46229</v>
      </c>
      <c r="P99" s="23">
        <f>IF(L99="","",C99&amp;"|"&amp;D99&amp;"|"&amp;H99&amp;"|"&amp;I99&amp;"|"&amp;L99)</f>
        <v/>
      </c>
      <c r="Q99" s="23">
        <f>IF(P99="",0,IF(COUNTIF($P$2:P99,P99)=1,1,0))</f>
        <v/>
      </c>
      <c r="R99" s="23">
        <f>IF(Q99=1,SUM($Q$2:Q99),"")</f>
        <v/>
      </c>
      <c r="S99" s="38" t="inlineStr">
        <is>
          <t>하드웨어(실내 사이클) 구매 전제의 리워드 모델이라 초기 진입비용 높음, 마일리지 환급 조건 복잡</t>
        </is>
      </c>
      <c r="T99" s="38" t="inlineStr">
        <is>
          <t>무료 마일리지 리워드. 멤버십 이용권-24개월 약정: 월 21,900원,12개월 약정: 월 33,900원 ,3개월 약정: 월 39,900원</t>
        </is>
      </c>
    </row>
    <row r="100" ht="15.75" customHeight="1" s="42">
      <c r="A100" s="29" t="inlineStr">
        <is>
          <t>CP099</t>
        </is>
      </c>
      <c r="B100" s="25" t="inlineStr">
        <is>
          <t>홈 트레이닝(Leap Fitness)</t>
        </is>
      </c>
      <c r="C100" s="25" t="inlineStr">
        <is>
          <t>운동</t>
        </is>
      </c>
      <c r="D100" s="25" t="inlineStr">
        <is>
          <t>정보제공</t>
        </is>
      </c>
      <c r="E100" s="25" t="inlineStr">
        <is>
          <t>미국</t>
        </is>
      </c>
      <c r="F100" s="25" t="inlineStr">
        <is>
          <t>일반경쟁자</t>
        </is>
      </c>
      <c r="G100" s="25" t="inlineStr">
        <is>
          <t>라이프스타일</t>
        </is>
      </c>
      <c r="H100" s="25" t="inlineStr">
        <is>
          <t>홈트족, 운동초보자</t>
        </is>
      </c>
      <c r="I100" s="25" t="inlineStr">
        <is>
          <t>앱단독</t>
        </is>
      </c>
      <c r="J100" s="25" t="inlineStr">
        <is>
          <t>운동영상, 루텐제공</t>
        </is>
      </c>
      <c r="K100" s="25" t="inlineStr">
        <is>
          <t>무기구운동, 챌린지</t>
        </is>
      </c>
      <c r="L100" s="25" t="inlineStr">
        <is>
          <t>Freemium(프리미엄)</t>
        </is>
      </c>
      <c r="M100" s="25" t="inlineStr">
        <is>
          <t>기본 트레이닝 플랜/영상 무료 제공. 광고 시청으로 추가 프로그램 이용. 프리미엄 결제 시 광고 제거</t>
        </is>
      </c>
      <c r="N100" s="14" t="n">
        <v>46229</v>
      </c>
      <c r="O100" s="14" t="n">
        <v>46229</v>
      </c>
      <c r="P100" s="23">
        <f>IF(L100="","",C100&amp;"|"&amp;D100&amp;"|"&amp;H100&amp;"|"&amp;I100&amp;"|"&amp;L100)</f>
        <v/>
      </c>
      <c r="Q100" s="23">
        <f>IF(P100="",0,IF(COUNTIF($P$2:P100,P100)=1,1,0))</f>
        <v/>
      </c>
      <c r="R100" s="23">
        <f>IF(Q100=1,SUM($Q$2:Q100),"")</f>
        <v/>
      </c>
      <c r="S100" s="38" t="inlineStr">
        <is>
          <t>사전 제작 맨몸운동 루틴으로 개인화·실시간 코칭 없음, 광고형 무료</t>
        </is>
      </c>
      <c r="T100" s="38" t="inlineStr">
        <is>
          <t>무료. 프리미엄- 월간 9.99달러, 연간 39.99달</t>
        </is>
      </c>
    </row>
    <row r="101" ht="15.75" customHeight="1" s="42">
      <c r="A101" s="29" t="inlineStr">
        <is>
          <t>CP100</t>
        </is>
      </c>
      <c r="B101" s="25" t="inlineStr">
        <is>
          <t>온오프(onoff)</t>
        </is>
      </c>
      <c r="C101" s="25" t="inlineStr">
        <is>
          <t>운동</t>
        </is>
      </c>
      <c r="D101" s="25" t="inlineStr">
        <is>
          <t>개입치료</t>
        </is>
      </c>
      <c r="E101" s="25" t="inlineStr">
        <is>
          <t>한국</t>
        </is>
      </c>
      <c r="F101" s="25" t="inlineStr">
        <is>
          <t>일반경쟁자</t>
        </is>
      </c>
      <c r="G101" s="25" t="inlineStr">
        <is>
          <t>라이프스타일</t>
        </is>
      </c>
      <c r="H101" s="25" t="inlineStr">
        <is>
          <t>다이어터, PT희망자, 전연령</t>
        </is>
      </c>
      <c r="I101" s="25" t="inlineStr">
        <is>
          <t>웹서비스(비대면코칭)</t>
        </is>
      </c>
      <c r="J101" s="25" t="inlineStr">
        <is>
          <t>온라인PT, 1:1코칭, 식단관리</t>
        </is>
      </c>
      <c r="K101" s="25" t="inlineStr">
        <is>
          <t>체형분석, 무료체험,트레이닝룸영상, 단체 라이브PT</t>
        </is>
      </c>
      <c r="L101" s="25" t="inlineStr">
        <is>
          <t>Subscription(구독형)</t>
        </is>
      </c>
      <c r="M101" s="25" t="inlineStr">
        <is>
          <t>전담 트레이너 배정형 비대면 PT. 단체 라이브 PT(실시간 화상), 트레이닝룸(부위별 영상 라이브러리) 병행 운영.</t>
        </is>
      </c>
      <c r="N101" s="14" t="n">
        <v>46238</v>
      </c>
      <c r="O101" s="14" t="n">
        <v>46238</v>
      </c>
      <c r="P101" s="23">
        <f>IF(L101="","",C101&amp;"|"&amp;D101&amp;"|"&amp;H101&amp;"|"&amp;I101&amp;"|"&amp;L101)</f>
        <v/>
      </c>
      <c r="Q101" s="23">
        <f>IF(P101="",0,IF(COUNTIF($P$2:P101,P101)=1,1,0))</f>
        <v/>
      </c>
      <c r="R101" s="23">
        <f>IF(Q101=1,SUM($Q$2:Q101),"")</f>
        <v/>
      </c>
      <c r="S101" s="38" t="inlineStr">
        <is>
          <t>비대면 특성상 실시간 동작 교정 즉시성이 오프라인 PT 대비 제한적</t>
        </is>
      </c>
      <c r="T101" s="38" t="inlineStr">
        <is>
          <t>주3회라이브-150,000원, 1개월 종일관리-210,000원, 3개월 종일관리(월163,333원),6개월 종일관리(월148,333원)</t>
        </is>
      </c>
    </row>
    <row r="102" ht="15.75" customHeight="1" s="42">
      <c r="A102" s="29" t="inlineStr">
        <is>
          <t>CP101</t>
        </is>
      </c>
      <c r="B102" s="38" t="inlineStr">
        <is>
          <t>스노어랩</t>
        </is>
      </c>
      <c r="C102" s="38" t="inlineStr">
        <is>
          <t>수면</t>
        </is>
      </c>
      <c r="D102" s="38" t="inlineStr">
        <is>
          <t>데이터기록관리</t>
        </is>
      </c>
      <c r="E102" s="38" t="inlineStr">
        <is>
          <t>영국</t>
        </is>
      </c>
      <c r="F102" s="38" t="inlineStr">
        <is>
          <t>일반경쟁자</t>
        </is>
      </c>
      <c r="G102" s="38" t="inlineStr">
        <is>
          <t>라이프스타일</t>
        </is>
      </c>
      <c r="H102" s="38" t="inlineStr">
        <is>
          <t>개인</t>
        </is>
      </c>
      <c r="I102" s="38" t="inlineStr">
        <is>
          <t>앱단독</t>
        </is>
      </c>
      <c r="J102" s="38" t="inlineStr">
        <is>
          <t>코골이녹음,수면분석,코골이관리</t>
        </is>
      </c>
      <c r="K102" s="38" t="inlineStr">
        <is>
          <t>코골이점수,소리기록,수면추이,코골이개선</t>
        </is>
      </c>
      <c r="L102" s="25" t="inlineStr">
        <is>
          <t>Freemium(프리미엄)</t>
        </is>
      </c>
      <c r="M102" s="38" t="inlineStr">
        <is>
          <t>코골이 소리를 녹음하고 강도와 발생 패턴을 분석해 코골이 개선 방법을 추적하는 수면관리 앱</t>
        </is>
      </c>
      <c r="N102" s="26" t="n">
        <v>46269</v>
      </c>
      <c r="O102" s="26" t="n">
        <v>46269</v>
      </c>
      <c r="S102" s="38" t="inlineStr">
        <is>
          <t>코골이 분석 결과가 수면무호흡증 등 질환의 의학적 진단을 대체할 수 없으며, 스마트폰 위치와 마이크 환경에 따라 측정 정확도가 달라질 수 있음</t>
        </is>
      </c>
      <c r="T102" s="38" t="inlineStr">
        <is>
          <t>기본 기능 무료 또는 제한적 녹음 제공; 프리미엄 구독 시 전체 밤 녹음·정밀 분석 이용 가능, 월 약 3.99달러, 연 약 39.99달러</t>
        </is>
      </c>
    </row>
    <row r="103" ht="15.75" customHeight="1" s="42">
      <c r="A103" s="29" t="inlineStr">
        <is>
          <t>CP102</t>
        </is>
      </c>
      <c r="B103" s="38" t="inlineStr">
        <is>
          <t>젠톡 플러스</t>
        </is>
      </c>
      <c r="C103" s="38" t="inlineStr">
        <is>
          <t>유전자</t>
        </is>
      </c>
      <c r="D103" s="38" t="inlineStr">
        <is>
          <t>정보제공</t>
        </is>
      </c>
      <c r="E103" s="38" t="inlineStr">
        <is>
          <t>한국</t>
        </is>
      </c>
      <c r="F103" s="38" t="inlineStr">
        <is>
          <t>카테고리리더</t>
        </is>
      </c>
      <c r="G103" s="38" t="inlineStr">
        <is>
          <t>생체지표</t>
        </is>
      </c>
      <c r="H103" s="38" t="inlineStr">
        <is>
          <t>개인</t>
        </is>
      </c>
      <c r="I103" s="38" t="inlineStr">
        <is>
          <t>DTC 유전자 검사</t>
        </is>
      </c>
      <c r="J103" s="38" t="inlineStr">
        <is>
          <t>유전자검사,DTC,개인맞춤건강</t>
        </is>
      </c>
      <c r="K103" s="38" t="inlineStr">
        <is>
          <t>영양, 운동, 피부, 모달, 생활습관, AI 유전상담</t>
        </is>
      </c>
      <c r="L103" s="25" t="inlineStr">
        <is>
          <t>Self-service(셀프서비스)</t>
        </is>
      </c>
      <c r="M103" s="38" t="inlineStr">
        <is>
          <t>2026년 출시된 175종 DTC 유전자검사 서비스. 앱 기반 결과 및 관리 솔루션 제공</t>
        </is>
      </c>
      <c r="N103" s="26" t="n">
        <v>46269</v>
      </c>
      <c r="O103" s="26" t="n">
        <v>46269</v>
      </c>
      <c r="S103" s="38" t="inlineStr">
        <is>
          <t>질병 진단 목적이 아닌 웰니스 중심. 검사 항목·판매가격은 프로모션에 따라 변동 가능</t>
        </is>
      </c>
      <c r="T103" s="38" t="inlineStr">
        <is>
          <t>69000원</t>
        </is>
      </c>
    </row>
    <row r="104" ht="15.75" customHeight="1" s="42">
      <c r="A104" s="38" t="inlineStr">
        <is>
          <t>CP103</t>
        </is>
      </c>
      <c r="B104" s="38" t="inlineStr">
        <is>
          <t>진스타일 wellness</t>
        </is>
      </c>
      <c r="C104" s="38" t="inlineStr">
        <is>
          <t>유전자</t>
        </is>
      </c>
      <c r="D104" s="38" t="inlineStr">
        <is>
          <t>정보제공</t>
        </is>
      </c>
      <c r="E104" s="38" t="inlineStr">
        <is>
          <t>한국</t>
        </is>
      </c>
      <c r="F104" s="38" t="inlineStr">
        <is>
          <t>카테고리리더</t>
        </is>
      </c>
      <c r="G104" s="38" t="inlineStr">
        <is>
          <t>생체지표</t>
        </is>
      </c>
      <c r="H104" s="38" t="inlineStr">
        <is>
          <t>개인</t>
        </is>
      </c>
      <c r="I104" s="38" t="inlineStr">
        <is>
          <t>DTC 유전자 검사</t>
        </is>
      </c>
      <c r="J104" s="38" t="inlineStr">
        <is>
          <t>유전자검사,DTC,웰니스</t>
        </is>
      </c>
      <c r="K104" s="38" t="inlineStr">
        <is>
          <t>영양소, 건강 관리, 피부, 모발, 운동, 식습관</t>
        </is>
      </c>
      <c r="L104" s="25" t="inlineStr">
        <is>
          <t>Self-service(셀프서비스)</t>
        </is>
      </c>
      <c r="M104" s="38" t="inlineStr">
        <is>
          <t>영양·건강·피부/모발 등 개인 유전적 특성을 분석하는 DTC 서비스</t>
        </is>
      </c>
      <c r="N104" s="26" t="n">
        <v>46269</v>
      </c>
      <c r="O104" s="26" t="n">
        <v>46269</v>
      </c>
      <c r="S104" s="38" t="inlineStr">
        <is>
          <t>진스타일 내 상품 종류가 다양해 비교 시 동일 상품 기준 유지 필요</t>
        </is>
      </c>
      <c r="T104" s="38" t="inlineStr">
        <is>
          <t>270000원</t>
        </is>
      </c>
    </row>
    <row r="105" ht="15.75" customHeight="1" s="42">
      <c r="A105" s="38" t="inlineStr">
        <is>
          <t>CP104</t>
        </is>
      </c>
      <c r="B105" s="38" t="inlineStr">
        <is>
          <t>유후(youWho)</t>
        </is>
      </c>
      <c r="C105" s="38" t="inlineStr">
        <is>
          <t>유전자</t>
        </is>
      </c>
      <c r="D105" s="38" t="inlineStr">
        <is>
          <t>정보제공</t>
        </is>
      </c>
      <c r="E105" s="38" t="inlineStr">
        <is>
          <t>한국</t>
        </is>
      </c>
      <c r="F105" s="38" t="inlineStr">
        <is>
          <t>일반경쟁자</t>
        </is>
      </c>
      <c r="G105" s="38" t="inlineStr">
        <is>
          <t>생체지표</t>
        </is>
      </c>
      <c r="H105" s="38" t="inlineStr">
        <is>
          <t>개인</t>
        </is>
      </c>
      <c r="I105" s="38" t="inlineStr">
        <is>
          <t>DTC 유전자 검사</t>
        </is>
      </c>
      <c r="J105" s="38" t="inlineStr">
        <is>
          <t>유전자검사,DTC,혈통분석</t>
        </is>
      </c>
      <c r="K105" s="38" t="inlineStr">
        <is>
          <t>DNA, 조상 분석, 인종분포, 유전계보</t>
        </is>
      </c>
      <c r="L105" s="25" t="inlineStr">
        <is>
          <t>Self-service(셀프서비스)</t>
        </is>
      </c>
      <c r="M105" s="38" t="inlineStr">
        <is>
          <t>DNA를 이용해 개인의 유전적 혈통·계보를 분석하는 서비스</t>
        </is>
      </c>
      <c r="N105" s="26" t="n">
        <v>46269</v>
      </c>
      <c r="O105" s="26" t="n">
        <v>46269</v>
      </c>
      <c r="S105" s="38" t="inlineStr">
        <is>
          <t>일반적인 영양·운동 웰니스보다 혈통·개인특성 분석 성격이 강함. 현재 공개 판매가격 확인 어려움</t>
        </is>
      </c>
    </row>
    <row r="106" ht="15.75" customHeight="1" s="42">
      <c r="A106" s="38" t="inlineStr">
        <is>
          <t>CP105</t>
        </is>
      </c>
      <c r="B106" s="38" t="inlineStr">
        <is>
          <t>위드진(WithGene)</t>
        </is>
      </c>
      <c r="C106" s="38" t="inlineStr">
        <is>
          <t>유전자</t>
        </is>
      </c>
      <c r="D106" s="38" t="inlineStr">
        <is>
          <t>정보제공</t>
        </is>
      </c>
      <c r="E106" s="38" t="inlineStr">
        <is>
          <t>한국</t>
        </is>
      </c>
      <c r="F106" s="38" t="inlineStr">
        <is>
          <t>카테고리리더</t>
        </is>
      </c>
      <c r="G106" s="38" t="inlineStr">
        <is>
          <t>생체지표</t>
        </is>
      </c>
      <c r="H106" s="38" t="inlineStr">
        <is>
          <t>개인</t>
        </is>
      </c>
      <c r="I106" s="38" t="inlineStr">
        <is>
          <t>DTC 유전자 검사</t>
        </is>
      </c>
      <c r="J106" s="38" t="inlineStr">
        <is>
          <t>유전자검사,DTC,개인맞춤건강</t>
        </is>
      </c>
      <c r="K106" s="38" t="inlineStr">
        <is>
          <t>피부, 영양, 식습관, 체중관리, 모발, 운동</t>
        </is>
      </c>
      <c r="L106" s="25" t="inlineStr">
        <is>
          <t>Self-service(셀프서비스)</t>
        </is>
      </c>
      <c r="M106" s="38" t="inlineStr">
        <is>
          <t>NGS 기반 개인 유전자검사로 건강 관련 개인특성 분석</t>
        </is>
      </c>
      <c r="N106" s="26" t="n">
        <v>46269</v>
      </c>
      <c r="O106" s="26" t="n">
        <v>46269</v>
      </c>
      <c r="S106" s="38" t="inlineStr">
        <is>
          <t>파트너사·제휴 채널 공급 비중이 높아 일반 소비자 직접 구매가격 비교가 어려움</t>
        </is>
      </c>
    </row>
    <row r="107" ht="15.75" customHeight="1" s="42">
      <c r="A107" s="38" t="inlineStr">
        <is>
          <t>CP106</t>
        </is>
      </c>
      <c r="B107" s="38" t="inlineStr">
        <is>
          <t>Mendel's DNA70</t>
        </is>
      </c>
      <c r="C107" s="38" t="inlineStr">
        <is>
          <t>유전자</t>
        </is>
      </c>
      <c r="D107" s="38" t="inlineStr">
        <is>
          <t>정보제공</t>
        </is>
      </c>
      <c r="E107" s="38" t="inlineStr">
        <is>
          <t>한국</t>
        </is>
      </c>
      <c r="F107" s="38" t="inlineStr">
        <is>
          <t>일반경쟁자</t>
        </is>
      </c>
      <c r="G107" s="38" t="inlineStr">
        <is>
          <t>생체지표</t>
        </is>
      </c>
      <c r="H107" s="38" t="inlineStr">
        <is>
          <t>개인</t>
        </is>
      </c>
      <c r="I107" s="38" t="inlineStr">
        <is>
          <t>DTC 유전자 검사</t>
        </is>
      </c>
      <c r="J107" s="38" t="inlineStr">
        <is>
          <t>유전자검사,DTC,웰니스</t>
        </is>
      </c>
      <c r="K107" s="38" t="inlineStr">
        <is>
          <t>영양, 생활습관, 개인특성, 건강관리 등 70항목</t>
        </is>
      </c>
      <c r="L107" s="25" t="inlineStr">
        <is>
          <t>Self-service(셀프서비스)</t>
        </is>
      </c>
      <c r="M107" s="38" t="inlineStr">
        <is>
          <t>보건복지부 DTC 인증 항목 기반 70종 웰니스 유전자검사</t>
        </is>
      </c>
      <c r="N107" s="26" t="n">
        <v>46269</v>
      </c>
      <c r="O107" s="26" t="n">
        <v>46269</v>
      </c>
      <c r="S107" s="38" t="inlineStr">
        <is>
          <t>엔젠바이오는 의료용 유전자검사도 보유하므로 Mendel's DNA70과 의료서비스를 구분해서 관리해야 함</t>
        </is>
      </c>
    </row>
    <row r="108" ht="15.75" customHeight="1" s="42">
      <c r="A108" s="38" t="inlineStr">
        <is>
          <t>CP107</t>
        </is>
      </c>
      <c r="B108" s="38" t="inlineStr">
        <is>
          <t>수퍼지노박스 약국형</t>
        </is>
      </c>
      <c r="C108" s="38" t="inlineStr">
        <is>
          <t>유전자</t>
        </is>
      </c>
      <c r="D108" s="38" t="inlineStr">
        <is>
          <t>매칭연결</t>
        </is>
      </c>
      <c r="E108" s="38" t="inlineStr">
        <is>
          <t>한국</t>
        </is>
      </c>
      <c r="F108" s="38" t="inlineStr">
        <is>
          <t>일반경쟁자</t>
        </is>
      </c>
      <c r="G108" s="38" t="inlineStr">
        <is>
          <t>생체지표</t>
        </is>
      </c>
      <c r="H108" s="38" t="inlineStr">
        <is>
          <t>개인</t>
        </is>
      </c>
      <c r="I108" s="28" t="inlineStr">
        <is>
          <t>DTC 유전자 검사</t>
        </is>
      </c>
      <c r="J108" s="38" t="inlineStr">
        <is>
          <t>유전자검사,DTC,약국상담</t>
        </is>
      </c>
      <c r="K108" s="38" t="inlineStr">
        <is>
          <t>영양소, 식습관, 운동, 피부, 모발, 약사상담, 맞춤영양</t>
        </is>
      </c>
      <c r="L108" s="25" t="inlineStr">
        <is>
          <t>Self-service(셀프서비스)</t>
        </is>
      </c>
      <c r="M108" s="38" t="inlineStr">
        <is>
          <t>144개 웰니스 항목 분석 후 약사가 결과를 바탕으로 영양성분·관리법 등을 제안</t>
        </is>
      </c>
      <c r="N108" s="26" t="n">
        <v>46269</v>
      </c>
      <c r="O108" s="26" t="n">
        <v>46269</v>
      </c>
      <c r="S108" s="38" t="inlineStr">
        <is>
          <t>셀메드 교육 이수 약국을 통한 상담 구조로 일반 온라인 DTC와 유통방식이 다름</t>
        </is>
      </c>
    </row>
    <row r="109" ht="15.75" customHeight="1" s="42">
      <c r="A109" s="38" t="inlineStr">
        <is>
          <t>CP108</t>
        </is>
      </c>
      <c r="B109" s="38" t="inlineStr">
        <is>
          <t>GNC 마이G스토리</t>
        </is>
      </c>
      <c r="C109" s="38" t="inlineStr">
        <is>
          <t>유전자</t>
        </is>
      </c>
      <c r="D109" s="38" t="inlineStr">
        <is>
          <t>매칭연결</t>
        </is>
      </c>
      <c r="E109" s="38" t="inlineStr">
        <is>
          <t>한국</t>
        </is>
      </c>
      <c r="F109" s="38" t="inlineStr">
        <is>
          <t>일반경쟁자</t>
        </is>
      </c>
      <c r="G109" s="38" t="inlineStr">
        <is>
          <t>생체지표</t>
        </is>
      </c>
      <c r="H109" s="38" t="inlineStr">
        <is>
          <t>개인</t>
        </is>
      </c>
      <c r="I109" s="28" t="inlineStr">
        <is>
          <t>DTC 유전자 검사</t>
        </is>
      </c>
      <c r="J109" s="38" t="inlineStr">
        <is>
          <t>유전자검사,DTC,맞춤건강관리</t>
        </is>
      </c>
      <c r="K109" s="43" t="inlineStr">
        <is>
          <t>영양, 건강관리, 건강기능식품, 개인 맞춤 추</t>
        </is>
      </c>
      <c r="L109" s="25" t="inlineStr">
        <is>
          <t>Self-service(셀프서비스)</t>
        </is>
      </c>
      <c r="M109" s="38" t="inlineStr">
        <is>
          <t>유전자검사 결과를 건강관리 및 맞춤형 건강기능식품 추천과 연결</t>
        </is>
      </c>
      <c r="N109" s="26" t="n">
        <v>46269</v>
      </c>
      <c r="O109" s="26" t="n">
        <v>46269</v>
      </c>
      <c r="S109" s="38" t="inlineStr">
        <is>
          <t>건기식 판매와 연계된 모델이므로 순수 유전자 정보제공 서비스와 BM 비교 시 구분 필요</t>
        </is>
      </c>
      <c r="T109" s="38" t="inlineStr">
        <is>
          <t>94500원, 비회원가 116000</t>
        </is>
      </c>
    </row>
    <row r="110" ht="15.75" customHeight="1" s="42">
      <c r="A110" s="44" t="n"/>
      <c r="B110" s="44" t="n"/>
      <c r="C110" s="44" t="n"/>
      <c r="D110" s="44" t="n"/>
      <c r="E110" s="44" t="n"/>
      <c r="F110" s="44" t="n"/>
      <c r="G110" s="44" t="n"/>
      <c r="H110" s="45" t="n"/>
      <c r="I110" s="45" t="n"/>
      <c r="J110" s="45" t="n"/>
      <c r="K110" s="45" t="n"/>
      <c r="L110" s="46" t="n"/>
      <c r="M110" s="45" t="n"/>
      <c r="N110" s="45" t="n"/>
      <c r="O110" s="45" t="n"/>
      <c r="P110" s="45" t="n"/>
      <c r="Q110" s="45" t="n"/>
      <c r="R110" s="45" t="n"/>
      <c r="S110" s="45" t="n"/>
      <c r="T110" s="45" t="n"/>
    </row>
    <row r="111" ht="15.75" customHeight="1" s="42">
      <c r="A111" s="29" t="inlineStr">
        <is>
          <t>CP110</t>
        </is>
      </c>
      <c r="B111" s="17" t="inlineStr">
        <is>
          <t>파우더룸</t>
        </is>
      </c>
      <c r="C111" s="17" t="inlineStr">
        <is>
          <t>미용</t>
        </is>
      </c>
      <c r="D111" s="17" t="inlineStr">
        <is>
          <t>정보제공</t>
        </is>
      </c>
      <c r="E111" s="17" t="inlineStr">
        <is>
          <t>한국</t>
        </is>
      </c>
      <c r="F111" s="17" t="inlineStr">
        <is>
          <t>카테고리리더</t>
        </is>
      </c>
      <c r="G111" s="17" t="inlineStr">
        <is>
          <t>라이프스타일</t>
        </is>
      </c>
      <c r="H111" s="19" t="inlineStr">
        <is>
          <t>20-30대 여성, 뷰티관심층</t>
        </is>
      </c>
      <c r="I111" s="17" t="inlineStr">
        <is>
          <t>앱단독+커머스</t>
        </is>
      </c>
      <c r="J111" s="17" t="inlineStr">
        <is>
          <t>뷰티커뮤니티,리뷰</t>
        </is>
      </c>
      <c r="K111" s="17" t="inlineStr">
        <is>
          <t>콘텐츠커머스,뷰티포인트리워드</t>
        </is>
      </c>
      <c r="L111" s="19" t="inlineStr">
        <is>
          <t>Leverage Customer Data(데이터활용)</t>
        </is>
      </c>
      <c r="M111" s="17" t="inlineStr">
        <is>
          <t>파우컴퍼니가 운영하는 뷰티 커뮤니티 앱. 리뷰·Q&amp;A 커뮤니티를 기반으로 콘텐츠 커머스(뷰티딜)로 확장, 화해·글로우픽과 함께 국내 대표 뷰티 리뷰앱 중 하나로 거론됨</t>
        </is>
      </c>
      <c r="N111" s="30" t="n">
        <v>46271</v>
      </c>
      <c r="O111" s="30" t="n">
        <v>46271</v>
      </c>
      <c r="P111" s="31" t="inlineStr">
        <is>
          <t>커뮤니티 리뷰 기반이라 협찬·비검증 후기가 섞일 수 있고, 화해 대비 앱 다운로드·트래픽 규모는 작은 편</t>
        </is>
      </c>
      <c r="Q111" s="31" t="inlineStr">
        <is>
          <t>앱 이용 무료; 커뮤니티 활동으로 적립되는 '뷰티포인트'로 할인 구매 가능, 매출은 입점 브랜드 대상 광고·판매 수수료 기반</t>
        </is>
      </c>
      <c r="S111" s="31" t="inlineStr">
        <is>
          <t>커뮤니티 리뷰 기반이라 협찬·비검증 후기가 섞일 수 있고, 화해 대비 앱 다운로드·트래픽 규모는 작은 편</t>
        </is>
      </c>
      <c r="T111" s="31" t="inlineStr">
        <is>
          <t>앱 이용 무료; 커뮤니티 활동으로 적립되는 '뷰티포인트'로 할인 구매 가능, 매출은 입점 브랜드 대상 광고·판매 수수료 기반</t>
        </is>
      </c>
    </row>
    <row r="112" ht="15.75" customHeight="1" s="42">
      <c r="A112" s="29" t="inlineStr">
        <is>
          <t>CP111</t>
        </is>
      </c>
      <c r="B112" s="17" t="inlineStr">
        <is>
          <t>노블리</t>
        </is>
      </c>
      <c r="C112" s="17" t="inlineStr">
        <is>
          <t>여성건강</t>
        </is>
      </c>
      <c r="D112" s="17" t="inlineStr">
        <is>
          <t>데이터기록관리</t>
        </is>
      </c>
      <c r="E112" s="17" t="inlineStr">
        <is>
          <t>한국</t>
        </is>
      </c>
      <c r="F112" s="17" t="inlineStr">
        <is>
          <t>일반경쟁자</t>
        </is>
      </c>
      <c r="G112" s="17" t="inlineStr">
        <is>
          <t>라이프스타일</t>
        </is>
      </c>
      <c r="H112" s="19" t="inlineStr">
        <is>
          <t>10대-20대 초반 여성, 생리주기 관리자</t>
        </is>
      </c>
      <c r="I112" s="17" t="inlineStr">
        <is>
          <t>앱단독</t>
        </is>
      </c>
      <c r="J112" s="17" t="inlineStr">
        <is>
          <t>생리주기,배란일계산</t>
        </is>
      </c>
      <c r="K112" s="17" t="inlineStr">
        <is>
          <t>커뮤니티,캐릭터UI</t>
        </is>
      </c>
      <c r="L112" s="19" t="inlineStr">
        <is>
          <t>Freemium(프리미엄)</t>
        </is>
      </c>
      <c r="M112" s="17" t="inlineStr">
        <is>
          <t>심플한 캘린더형 생리주기·배란일 추적 앱. 핑크다이어리·달다방과 유사한 카테고리의 후발 서비스로, 캐릭터 기반 UI/UX로 10대~20대 초반 이용자층을 공략</t>
        </is>
      </c>
      <c r="N112" s="30" t="n">
        <v>46271</v>
      </c>
      <c r="O112" s="30" t="n">
        <v>46271</v>
      </c>
      <c r="P112" s="31" t="inlineStr">
        <is>
          <t>플랫폼·카테고리리더급 서비스 대비 인지도·설치 규모가 작고, 임신·난임 등 확장 기능 없이 생리주기 기록에 특화되어 기능 커버리지가 좁음</t>
        </is>
      </c>
      <c r="Q112" s="31" t="inlineStr">
        <is>
          <t>기본 앱 무료; 광고 제거·테마 등 부가기능은 소액 인앱결제 또는 광고 시청 기반</t>
        </is>
      </c>
      <c r="S112" s="31" t="inlineStr">
        <is>
          <t>플랫폼·카테고리리더급 서비스 대비 인지도·설치 규모가 작고, 임신·난임 등 확장 기능 없이 생리주기 기록에 특화되어 기능 커버리지가 좁음</t>
        </is>
      </c>
      <c r="T112" s="31" t="inlineStr">
        <is>
          <t>기본 앱 무료; 광고 제거·테마 등 부가기능은 소액 인앱결제 또는 광고 시청 기반</t>
        </is>
      </c>
    </row>
    <row r="113" ht="15.75" customHeight="1" s="42">
      <c r="A113" s="29" t="inlineStr">
        <is>
          <t>CP112</t>
        </is>
      </c>
      <c r="B113" s="19" t="inlineStr">
        <is>
          <t>Flo</t>
        </is>
      </c>
      <c r="C113" s="17" t="inlineStr">
        <is>
          <t>여성건강</t>
        </is>
      </c>
      <c r="D113" s="17" t="inlineStr">
        <is>
          <t>데이터기록관리</t>
        </is>
      </c>
      <c r="E113" s="17" t="inlineStr">
        <is>
          <t>영국</t>
        </is>
      </c>
      <c r="F113" s="17" t="inlineStr">
        <is>
          <t>플랫폼</t>
        </is>
      </c>
      <c r="G113" s="17" t="inlineStr">
        <is>
          <t>생체지표</t>
        </is>
      </c>
      <c r="H113" s="17" t="inlineStr">
        <is>
          <t>전세계 가임기 여성, 임신·완경 준비 여성</t>
        </is>
      </c>
      <c r="I113" s="17" t="inlineStr">
        <is>
          <t>앱단독</t>
        </is>
      </c>
      <c r="J113" s="17" t="inlineStr">
        <is>
          <t>생리주기,배란예측</t>
        </is>
      </c>
      <c r="K113" s="19" t="inlineStr">
        <is>
          <t>AI건강어시스턴트,완경추적</t>
        </is>
      </c>
      <c r="L113" s="19" t="inlineStr">
        <is>
          <t>Freemium(프리미엄)</t>
        </is>
      </c>
      <c r="M113" s="17" t="inlineStr">
        <is>
          <t>전세계 최대 규모 생리주기 추적 앱 중 하나. 2024년 2억달러 투자 유치로 기업가치 10억달러 이상 유니콘 등극. AI 기반 건강 어시스턴트, 파트너 모드, 완경(폐경) 추적까지 여성 생애주기 전반으로 기능 확장</t>
        </is>
      </c>
      <c r="N113" s="30" t="n">
        <v>46271</v>
      </c>
      <c r="O113" s="30" t="n">
        <v>46271</v>
      </c>
      <c r="P113" s="31" t="inlineStr">
        <is>
          <t>한국 현지화·마케팅 없이 글로벌 앱스토어로만 서비스되어 국내 인지도가 낮고, 과거 제3자와의 이용자 건강데이터 공유 논란으로 프라이버시 신뢰 이슈가 있었음</t>
        </is>
      </c>
      <c r="Q113" s="31" t="inlineStr">
        <is>
          <t>기본 기능 무료; Flo Premium 월간·연간 구독(프로모션에 따라 변동, 연간 환산 시 월 약 $9.99 수준으로 안내)</t>
        </is>
      </c>
      <c r="S113" s="31" t="inlineStr">
        <is>
          <t>한국 현지화·마케팅 없이 글로벌 앱스토어로만 서비스되어 국내 인지도가 낮고, 과거 제3자와의 이용자 건강데이터 공유 논란으로 프라이버시 신뢰 이슈가 있었음</t>
        </is>
      </c>
      <c r="T113" s="31" t="inlineStr">
        <is>
          <t>기본 기능 무료; Flo Premium 월간·연간 구독(프로모션에 따라 변동, 연간 환산 시 월 약 $9.99 수준으로 안내)</t>
        </is>
      </c>
    </row>
    <row r="114" ht="15.75" customHeight="1" s="42">
      <c r="A114" s="29" t="inlineStr">
        <is>
          <t>CP113</t>
        </is>
      </c>
      <c r="B114" s="19" t="inlineStr">
        <is>
          <t>Peanut</t>
        </is>
      </c>
      <c r="C114" s="17" t="inlineStr">
        <is>
          <t>여성건강</t>
        </is>
      </c>
      <c r="D114" s="17" t="inlineStr">
        <is>
          <t>매칭연결</t>
        </is>
      </c>
      <c r="E114" s="17" t="inlineStr">
        <is>
          <t>영국</t>
        </is>
      </c>
      <c r="F114" s="17" t="inlineStr">
        <is>
          <t>일반경쟁자</t>
        </is>
      </c>
      <c r="G114" s="17" t="inlineStr">
        <is>
          <t>라이프스타일</t>
        </is>
      </c>
      <c r="H114" s="17" t="inlineStr">
        <is>
          <t>임신·육아·완경기 여성</t>
        </is>
      </c>
      <c r="I114" s="17" t="inlineStr">
        <is>
          <t>소셜네트워크 앱</t>
        </is>
      </c>
      <c r="J114" s="17" t="inlineStr">
        <is>
          <t>여성커뮤니티,친구매칭</t>
        </is>
      </c>
      <c r="K114" s="17" t="inlineStr">
        <is>
          <t>임신육아,완경커뮤니티</t>
        </is>
      </c>
      <c r="L114" s="19" t="inlineStr">
        <is>
          <t>Two-sided Market(양면시장)</t>
        </is>
      </c>
      <c r="M114" s="47" t="inlineStr">
        <is>
          <t>엄마들의 틴더'로 불리는 여성 전용 소셜 네트워킹 앱. 임신·육아 단계별 매칭에서 시작해 난임, 완경(메노포즈) 커뮤니티까지 여성 생애주기 전반의 또래 매칭으로 확장</t>
        </is>
      </c>
      <c r="N114" s="30" t="n">
        <v>46271</v>
      </c>
      <c r="O114" s="30" t="n">
        <v>46271</v>
      </c>
      <c r="P114" s="31" t="inlineStr">
        <is>
          <t>정보 제공·데이터 기록 기능 없이 커뮤니티·매칭에 특화되어 헬스케어 데이터 트래킹 경쟁력은 낮고, 한국어 미지원으로 국내 이용자 기반은 미미함</t>
        </is>
      </c>
      <c r="Q114" s="31" t="inlineStr">
        <is>
          <t>앱 이용 무료; 매출은 광고 및 브랜드 파트너십 기반(별도 유료 구독 없음)</t>
        </is>
      </c>
      <c r="S114" s="31" t="inlineStr">
        <is>
          <t>정보 제공·데이터 기록 기능 없이 커뮤니티·매칭에 특화되어 헬스케어 데이터 트래킹 경쟁력은 낮고, 한국어 미지원으로 국내 이용자 기반은 미미함</t>
        </is>
      </c>
      <c r="T114" s="31" t="inlineStr">
        <is>
          <t>앱 이용 무료; 매출은 광고 및 브랜드 파트너십 기반(별도 유료 구독 없음)</t>
        </is>
      </c>
    </row>
    <row r="115" ht="15.75" customHeight="1" s="42">
      <c r="A115" s="29" t="inlineStr">
        <is>
          <t>CP114</t>
        </is>
      </c>
      <c r="B115" s="19" t="inlineStr">
        <is>
          <t>Midi Health</t>
        </is>
      </c>
      <c r="C115" s="17" t="inlineStr">
        <is>
          <t>여성건강</t>
        </is>
      </c>
      <c r="D115" s="17" t="inlineStr">
        <is>
          <t>개입치료</t>
        </is>
      </c>
      <c r="E115" s="17" t="inlineStr">
        <is>
          <t>미국</t>
        </is>
      </c>
      <c r="F115" s="17" t="inlineStr">
        <is>
          <t>카테고리리더</t>
        </is>
      </c>
      <c r="G115" s="17" t="inlineStr">
        <is>
          <t>생체지표</t>
        </is>
      </c>
      <c r="H115" s="19" t="inlineStr">
        <is>
          <t>30-60대 완경기(갱년기) 여성</t>
        </is>
      </c>
      <c r="I115" s="17" t="inlineStr">
        <is>
          <t>앱단독(원격의료)</t>
        </is>
      </c>
      <c r="J115" s="17" t="inlineStr">
        <is>
          <t>완경케어,호르몬치료(HRT)</t>
        </is>
      </c>
      <c r="K115" s="17" t="inlineStr">
        <is>
          <t>원격진료,보험연계</t>
        </is>
      </c>
      <c r="L115" s="19" t="inlineStr">
        <is>
          <t>Pay Per Use(사용량과금)</t>
        </is>
      </c>
      <c r="M115" s="17" t="inlineStr">
        <is>
          <t>완경(메노포즈)·중년 여성 건강에 특화된 원격의료 스타트업. 여성 전문의·NP 화상진료로 호르몬대체요법(HRT) 등을 처방하며, 2025년 시리즈D에서 기업가치 10억달러 돌파</t>
        </is>
      </c>
      <c r="N115" s="30" t="n">
        <v>46271</v>
      </c>
      <c r="O115" s="30" t="n">
        <v>46271</v>
      </c>
      <c r="P115" s="31" t="inlineStr">
        <is>
          <t>미국 보험·의료 시스템 기반 서비스로 한국에서는 이용 불가하며, 방문(진료)당 과금 구조라 정기 구독형 서비스 대비 비용 예측이 어려움</t>
        </is>
      </c>
      <c r="Q115" s="31" t="inlineStr">
        <is>
          <t>자가부담 첫 진료 $250, 재진 $150; 보험 적용 시 평균 자기부담금 약 $50 수준(플랜별 상이), 검사·처방약은 별도 청구</t>
        </is>
      </c>
      <c r="S115" s="31" t="inlineStr">
        <is>
          <t>미국 보험·의료 시스템 기반 서비스로 한국에서는 이용 불가하며, 방문(진료)당 과금 구조라 정기 구독형 서비스 대비 비용 예측이 어려움</t>
        </is>
      </c>
      <c r="T115" s="31" t="inlineStr">
        <is>
          <t>자가부담 첫 진료 $250, 재진 $150; 보험 적용 시 평균 자기부담금 약 $50 수준(플랜별 상이), 검사·처방약은 별도 청구</t>
        </is>
      </c>
    </row>
    <row r="116" ht="15.75" customHeight="1" s="42">
      <c r="A116" s="29" t="inlineStr">
        <is>
          <t>CP115</t>
        </is>
      </c>
      <c r="B116" s="19" t="inlineStr">
        <is>
          <t>Perfect Corp(YouCam Makeup)</t>
        </is>
      </c>
      <c r="C116" s="17" t="inlineStr">
        <is>
          <t>미용</t>
        </is>
      </c>
      <c r="D116" s="17" t="inlineStr">
        <is>
          <t>정보제공</t>
        </is>
      </c>
      <c r="E116" s="17" t="inlineStr">
        <is>
          <t>대만</t>
        </is>
      </c>
      <c r="F116" s="17" t="inlineStr">
        <is>
          <t>플랫폼</t>
        </is>
      </c>
      <c r="G116" s="17" t="inlineStr">
        <is>
          <t>라이프스타일</t>
        </is>
      </c>
      <c r="H116" s="17" t="inlineStr">
        <is>
          <t>전연령 뷰티소비자, 뷰티 브랜드사(B2B)</t>
        </is>
      </c>
      <c r="I116" s="17" t="inlineStr">
        <is>
          <t>앱단독+B2B API/SDK</t>
        </is>
      </c>
      <c r="J116" s="19" t="inlineStr">
        <is>
          <t>AR가상메이크업,AI피부진단</t>
        </is>
      </c>
      <c r="K116" s="19" t="inlineStr">
        <is>
          <t>AI뷰티에이전트,브랜드제휴</t>
        </is>
      </c>
      <c r="L116" s="19" t="inlineStr">
        <is>
          <t>Two-sided Market(양면시장)</t>
        </is>
      </c>
      <c r="M116" s="17" t="inlineStr">
        <is>
          <t>대만 나스닥 상장사. 소비자용 YouCam Makeup 앱(가상 메이크업·피부진단)과 로레알·에스티로더 등 뷰티 브랜드에 AR/AI 기술을 라이선스하는 B2B SaaS를 병행. 2025년 11월 대화형 AI '유캠 AI 뷰티 에이전트' 출시</t>
        </is>
      </c>
      <c r="N116" s="30" t="n">
        <v>46271</v>
      </c>
      <c r="O116" s="30" t="n">
        <v>46271</v>
      </c>
      <c r="P116" s="31" t="inlineStr">
        <is>
          <t>소비자 앱보다 브랜드사 대상 B2B 라이선스 매출 비중이 커 국내 개인 소비자向 경쟁 임팩트는 제한적이고, 강남언니·화해류의 국내 로컬 커뮤니티·리뷰 데이터는 보유하지 않음</t>
        </is>
      </c>
      <c r="Q116" s="31" t="inlineStr">
        <is>
          <t>소비자 앱 기본 무료(일부 프리미엄 필터 인앱결제); 브랜드사 대상 AR/AI 솔루션은 별도 라이선스 계약(비공개)</t>
        </is>
      </c>
      <c r="S116" s="31" t="inlineStr">
        <is>
          <t>소비자 앱보다 브랜드사 대상 B2B 라이선스 매출 비중이 커 국내 개인 소비자向 경쟁 임팩트는 제한적이고, 강남언니·화해류의 국내 로컬 커뮤니티·리뷰 데이터는 보유하지 않음</t>
        </is>
      </c>
      <c r="T116" s="31" t="inlineStr">
        <is>
          <t>소비자 앱 기본 무료(일부 프리미엄 필터 인앱결제); 브랜드사 대상 AR/AI 솔루션은 별도 라이선스 계약(비공개)</t>
        </is>
      </c>
    </row>
    <row r="117" ht="15.75" customHeight="1" s="42">
      <c r="A117" s="29" t="inlineStr">
        <is>
          <t>CP116</t>
        </is>
      </c>
      <c r="B117" s="19" t="inlineStr">
        <is>
          <t>Curology</t>
        </is>
      </c>
      <c r="C117" s="17" t="inlineStr">
        <is>
          <t>미용</t>
        </is>
      </c>
      <c r="D117" s="17" t="inlineStr">
        <is>
          <t>개입치료</t>
        </is>
      </c>
      <c r="E117" s="17" t="inlineStr">
        <is>
          <t>미국</t>
        </is>
      </c>
      <c r="F117" s="17" t="inlineStr">
        <is>
          <t>일반경쟁자</t>
        </is>
      </c>
      <c r="G117" s="17" t="inlineStr">
        <is>
          <t>생체지표</t>
        </is>
      </c>
      <c r="H117" s="17" t="inlineStr">
        <is>
          <t>여드름·홍조 등 피부트러블 여성</t>
        </is>
      </c>
      <c r="I117" s="19" t="inlineStr">
        <is>
          <t>D2C구독(원격진료연계)</t>
        </is>
      </c>
      <c r="J117" s="17" t="inlineStr">
        <is>
          <t>맞춤형처방스킨케어,피부트러블케어</t>
        </is>
      </c>
      <c r="K117" s="17" t="inlineStr">
        <is>
          <t>화상피부상담,구독배송</t>
        </is>
      </c>
      <c r="L117" s="19" t="inlineStr">
        <is>
          <t>Subscription(구독형)</t>
        </is>
      </c>
      <c r="M117" s="17" t="inlineStr">
        <is>
          <t>미국의 대표적인 맞춤형 처방 스킨케어 D2C 브랜드 중 하나. 가입 시 피부 사진·설문을 제출하면 라이선스 받은 피부과 의사/PA가 원격으로 개인 맞춤 처방(트레티노인 등)을 조제해 매월 배송</t>
        </is>
      </c>
      <c r="N117" s="30" t="n">
        <v>46271</v>
      </c>
      <c r="O117" s="30" t="n">
        <v>46271</v>
      </c>
      <c r="P117" s="31" t="inlineStr">
        <is>
          <t>처방약 성분이 포함돼 미국 내에서도 주(州)별 원격진료 규제 영향을 받으며, 한국에서는 처방 스킨케어 자체가 유통될 수 없는 구조라 서비스 제공이 불가능함. 최근 수년간 조직 감원 보도가 있었으나 2026년 기준 서비스 자체는 정상 운영 중</t>
        </is>
      </c>
      <c r="Q117" s="31" t="inlineStr">
        <is>
          <t>첫 트라이얼 키트 약 $25 내외 + 이후 월 구독료 약 $30~60선(처방 성분·용량에 따라 변동, 프로모션 상시 존재)</t>
        </is>
      </c>
      <c r="S117" s="31" t="inlineStr">
        <is>
          <t>처방약 성분이 포함돼 미국 내에서도 주(州)별 원격진료 규제 영향을 받으며, 한국에서는 처방 스킨케어 자체가 유통될 수 없는 구조라 서비스 제공이 불가능함. 최근 수년간 조직 감원 보도가 있었으나 2026년 기준 서비스 자체는 정상 운영 중</t>
        </is>
      </c>
      <c r="T117" s="31" t="inlineStr">
        <is>
          <t>첫 트라이얼 키트 약 $25 내외 + 이후 월 구독료 약 $30~60선(처방 성분·용량에 따라 변동, 프로모션 상시 존재)</t>
        </is>
      </c>
    </row>
    <row r="118" ht="15.75" customHeight="1" s="42">
      <c r="A118" s="29" t="inlineStr">
        <is>
          <t>CP117</t>
        </is>
      </c>
      <c r="B118" s="19" t="inlineStr">
        <is>
          <t>Natural Cycles</t>
        </is>
      </c>
      <c r="C118" s="17" t="inlineStr">
        <is>
          <t>여성건강</t>
        </is>
      </c>
      <c r="D118" s="17" t="inlineStr">
        <is>
          <t>개입치료</t>
        </is>
      </c>
      <c r="E118" s="17" t="inlineStr">
        <is>
          <t>스웨덴</t>
        </is>
      </c>
      <c r="F118" s="17" t="inlineStr">
        <is>
          <t>카테고리리더</t>
        </is>
      </c>
      <c r="G118" s="17" t="inlineStr">
        <is>
          <t>생체지표</t>
        </is>
      </c>
      <c r="H118" s="17" t="inlineStr">
        <is>
          <t>피임·임신계획을 원하는 가임기 여성</t>
        </is>
      </c>
      <c r="I118" s="17" t="inlineStr">
        <is>
          <t>앱단독+체온계연동</t>
        </is>
      </c>
      <c r="J118" s="17" t="inlineStr">
        <is>
          <t>기초체온측정,배란알고리즘</t>
        </is>
      </c>
      <c r="K118" s="19" t="inlineStr">
        <is>
          <t>FDA인증,피임/임신계획전환</t>
        </is>
      </c>
      <c r="L118" s="19" t="inlineStr">
        <is>
          <t>Subscription(구독형)</t>
        </is>
      </c>
      <c r="M118" s="17" t="inlineStr">
        <is>
          <t>기초체온(BBT) 측정값을 알고리즘으로 분석해 피임(비호르몬) 또는 임신계획에 활용하는 '디지털 피임약'. 세계 최초로 피임 목적 FDA 승인을 받은 앱으로, 전용 체온계와 결합해 사용</t>
        </is>
      </c>
      <c r="N118" s="30" t="n">
        <v>46271</v>
      </c>
      <c r="O118" s="30" t="n">
        <v>46271</v>
      </c>
      <c r="P118" s="31" t="inlineStr">
        <is>
          <t>매일 같은 시간 체온측정을 전제로 한 피임 실패율 수치라 실사용 실패율 논란(영국 NHS 임신 신고 이슈 등)이 있었으며, 국내에는 피임 목적 인증·마케팅이 이뤄지지 않음</t>
        </is>
      </c>
      <c r="Q118" s="31" t="inlineStr">
        <is>
          <t>연간 구독 약 $99.99/년(전용 체온계 포함 상품은 별도 상향), 월간 결제 시 더 높은 단가 적용</t>
        </is>
      </c>
      <c r="S118" s="31" t="inlineStr">
        <is>
          <t>매일 같은 시간 체온측정을 전제로 한 피임 실패율 수치라 실사용 실패율 논란(영국 NHS 임신 신고 이슈 등)이 있었으며, 국내에는 피임 목적 인증·마케팅이 이뤄지지 않음</t>
        </is>
      </c>
      <c r="T118" s="31" t="inlineStr">
        <is>
          <t>연간 구독 약 $99.99/년(전용 체온계 포함 상품은 별도 상향), 월간 결제 시 더 높은 단가 적용</t>
        </is>
      </c>
    </row>
    <row r="119" ht="15.75" customHeight="1" s="42">
      <c r="A119" s="29" t="inlineStr">
        <is>
          <t>CP118</t>
        </is>
      </c>
      <c r="B119" s="19" t="inlineStr">
        <is>
          <t>Elvie</t>
        </is>
      </c>
      <c r="C119" s="17" t="inlineStr">
        <is>
          <t>여성건강</t>
        </is>
      </c>
      <c r="D119" s="17" t="inlineStr">
        <is>
          <t>개입치료</t>
        </is>
      </c>
      <c r="E119" s="17" t="inlineStr">
        <is>
          <t>영국</t>
        </is>
      </c>
      <c r="F119" s="17" t="inlineStr">
        <is>
          <t>일반경쟁자</t>
        </is>
      </c>
      <c r="G119" s="17" t="inlineStr">
        <is>
          <t>생체지표</t>
        </is>
      </c>
      <c r="H119" s="17" t="inlineStr">
        <is>
          <t>산후 여성, 골반저근 약화·수유기 여성</t>
        </is>
      </c>
      <c r="I119" s="17" t="inlineStr">
        <is>
          <t>기기+앱연동(웨어러블)</t>
        </is>
      </c>
      <c r="J119" s="17" t="inlineStr">
        <is>
          <t>웨어러블유축기,케겔트레이너</t>
        </is>
      </c>
      <c r="K119" s="17" t="inlineStr">
        <is>
          <t>골반저근훈련,무선기기</t>
        </is>
      </c>
      <c r="L119" s="19" t="inlineStr">
        <is>
          <t>Sensor As A Service(센서서비스)</t>
        </is>
      </c>
      <c r="M119" s="17" t="inlineStr">
        <is>
          <t>여성 헬스테크(펨테크) 하드웨어 전문기업. 손에 쥐고 다닐 수 있는 무소음 웨어러블 유축기(Elvie Pump)와 앱 연동 케겔(골반저근) 트레이너(Elvie Trainer)를 판매, 룰루랩과 유사한 '기기+앱' 결합형 BM</t>
        </is>
      </c>
      <c r="N119" s="30" t="n">
        <v>46271</v>
      </c>
      <c r="O119" s="30" t="n">
        <v>46271</v>
      </c>
      <c r="P119" s="31" t="inlineStr">
        <is>
          <t>기기 본체 가격이 높아 초기 구매 장벽이 크고, 국내는 병행수입·해외직구 위주로만 유통되어 정식 A/S·보험 연동 인프라가 없음</t>
        </is>
      </c>
      <c r="Q119" s="31" t="inlineStr">
        <is>
          <t>Elvie Pump 싱글 $199.99~더블 $399.99대, Elvie Trainer 별도 판매(통상 $199 내외); 앱 자체 이용료는 없음</t>
        </is>
      </c>
      <c r="S119" s="31" t="inlineStr">
        <is>
          <t>기기 본체 가격이 높아 초기 구매 장벽이 크고, 국내는 병행수입·해외직구 위주로만 유통되어 정식 A/S·보험 연동 인프라가 없음</t>
        </is>
      </c>
      <c r="T119" s="31" t="inlineStr">
        <is>
          <t>Elvie Pump 싱글 $199.99~더블 $399.99대, Elvie Trainer 별도 판매(통상 $199 내외); 앱 자체 이용료는 없음</t>
        </is>
      </c>
    </row>
    <row r="120" ht="15.75" customHeight="1" s="42">
      <c r="A120" s="29" t="inlineStr">
        <is>
          <t>CP119</t>
        </is>
      </c>
      <c r="B120" s="19" t="inlineStr">
        <is>
          <t>Rael(라엘)</t>
        </is>
      </c>
      <c r="C120" s="17" t="inlineStr">
        <is>
          <t>여성건강</t>
        </is>
      </c>
      <c r="D120" s="17" t="inlineStr">
        <is>
          <t>개입치료</t>
        </is>
      </c>
      <c r="E120" s="17" t="inlineStr">
        <is>
          <t>미국</t>
        </is>
      </c>
      <c r="F120" s="17" t="inlineStr">
        <is>
          <t>일반경쟁자</t>
        </is>
      </c>
      <c r="G120" s="17" t="inlineStr">
        <is>
          <t>라이프스타일</t>
        </is>
      </c>
      <c r="H120" s="17" t="inlineStr">
        <is>
          <t>유기농·클린뷰티 지향 여성용품 소비자</t>
        </is>
      </c>
      <c r="I120" s="19" t="inlineStr">
        <is>
          <t>D2C(제조판매)</t>
        </is>
      </c>
      <c r="J120" s="17" t="inlineStr">
        <is>
          <t>유기농생리대,여성용품</t>
        </is>
      </c>
      <c r="K120" s="17" t="inlineStr">
        <is>
          <t>아마존1위,글로벌D2C</t>
        </is>
      </c>
      <c r="L120" s="19" t="inlineStr">
        <is>
          <t>Subscription(구독형)</t>
        </is>
      </c>
      <c r="M120" s="17" t="inlineStr">
        <is>
          <t>한인 여성 3인이 미국에서 창업한 유기농 여성용품 D2C 브랜드. 아마존 생리대 카테고리 1위 등 미국 시장에서 강세를 보이며 해피문데이와 유사한 유기농 생리대 BM이나 미국 D2C·정기구독 중심으로 성장. 2026년 8월 타워브룩캐피탈과 전략적 성장 파트너십(투자) 체결 발표, 매각이 아닌 확장 단계로 현재도 정상 운영 중</t>
        </is>
      </c>
      <c r="N120" s="30" t="n">
        <v>46271</v>
      </c>
      <c r="O120" s="30" t="n">
        <v>46271</v>
      </c>
      <c r="P120" s="31" t="inlineStr">
        <is>
          <t>국내는 별도 라엘코리아 공식몰로 운영되나 브랜드 인지도·유통망이 해피문데이 등 국내 플레이어 대비 약하고, 매출·투자 세부 지표는 비공개</t>
        </is>
      </c>
      <c r="Q120" s="31" t="inlineStr">
        <is>
          <t>정기구독(Subscribe&amp;Save) 시 할인 적용, 유기농 생리대 1팩당 통상 $8~12 수준(구성에 따라 상이); 구독 해지·주기 변경 자유</t>
        </is>
      </c>
      <c r="S120" s="31" t="inlineStr">
        <is>
          <t>국내는 별도 라엘코리아 공식몰로 운영되나 브랜드 인지도·유통망이 해피문데이 등 국내 플레이어 대비 약하고, 매출·투자 세부 지표는 비공개</t>
        </is>
      </c>
      <c r="T120" s="31" t="inlineStr">
        <is>
          <t>정기구독(Subscribe&amp;Save) 시 할인 적용, 유기농 생리대 1팩당 통상 $8~12 수준(구성에 따라 상이); 구독 해지·주기 변경 자유</t>
        </is>
      </c>
    </row>
    <row r="121" ht="15.75" customHeight="1" s="42">
      <c r="A121" s="29" t="inlineStr">
        <is>
          <t>CP120</t>
        </is>
      </c>
      <c r="B121" s="36" t="inlineStr">
        <is>
          <t>플릭(Flick)</t>
        </is>
      </c>
      <c r="C121" s="36" t="inlineStr">
        <is>
          <t>운동</t>
        </is>
      </c>
      <c r="D121" s="36" t="inlineStr">
        <is>
          <t>데이터기록관리</t>
        </is>
      </c>
      <c r="E121" s="36" t="inlineStr">
        <is>
          <t>한국</t>
        </is>
      </c>
      <c r="F121" s="36" t="inlineStr">
        <is>
          <t>일반경쟁자</t>
        </is>
      </c>
      <c r="G121" s="36" t="inlineStr">
        <is>
          <t>라이프스타일</t>
        </is>
      </c>
      <c r="H121" s="36" t="inlineStr">
        <is>
          <t>헬스이용자, 홈트레이닝족 + 퍼스널트레이너(PT)</t>
        </is>
      </c>
      <c r="I121" s="36" t="inlineStr">
        <is>
          <t>앱단독</t>
        </is>
      </c>
      <c r="J121" s="36" t="inlineStr">
        <is>
          <t>운동기록,루틴관리,세트별무게/횟수/시간기록</t>
        </is>
      </c>
      <c r="K121" s="36" t="inlineStr">
        <is>
          <t>소셜팔로우(루틴공유),휴식타이머,PT회원관리(다수회원통합관리)</t>
        </is>
      </c>
      <c r="L121" s="34" t="inlineStr">
        <is>
          <t>Freemium(프리미엄)</t>
        </is>
      </c>
      <c r="M121" s="36" t="inlineStr">
        <is>
          <t>400여 종 운동 지원.PT 전문가용 회원관리 기능이 개인용 트래커+B2B SaaS 겸용 성격을 만듦</t>
        </is>
      </c>
      <c r="N121" s="35" t="n">
        <v>46273</v>
      </c>
      <c r="O121" s="35" t="n">
        <v>46273</v>
      </c>
      <c r="P121" s="36" t="n"/>
      <c r="Q121" s="36" t="n"/>
      <c r="R121" s="36" t="n"/>
      <c r="S121" s="36" t="inlineStr">
        <is>
          <t>순수 기록·일지형이라 AI 코칭 요소가 없음(플랜핏류와 달리 자동 루틴 생성 기능 부재). 번핏·Hevy와 직접 경쟁하는 레드오션 포지션이며 차별화 포인트는 PT용 회원관리 기능 정도</t>
        </is>
      </c>
      <c r="T121" s="36" t="inlineStr">
        <is>
          <t>인앱구매 항목당 ₩3,900~₩89,000</t>
        </is>
      </c>
      <c r="U121" s="36" t="n"/>
      <c r="V121" s="36" t="n"/>
      <c r="W121" s="36" t="n"/>
      <c r="X121" s="36" t="n"/>
      <c r="Y121" s="36" t="n"/>
      <c r="Z121" s="36" t="n"/>
    </row>
    <row r="122" ht="15.75" customHeight="1" s="42">
      <c r="A122" s="29" t="inlineStr">
        <is>
          <t>CP121</t>
        </is>
      </c>
      <c r="B122" s="38" t="inlineStr">
        <is>
          <t>트랭글(Trangle)</t>
        </is>
      </c>
      <c r="C122" s="38" t="inlineStr">
        <is>
          <t>운동</t>
        </is>
      </c>
      <c r="D122" s="38" t="inlineStr">
        <is>
          <t>데이터기록관리</t>
        </is>
      </c>
      <c r="E122" s="38" t="inlineStr">
        <is>
          <t>한국</t>
        </is>
      </c>
      <c r="F122" s="38" t="inlineStr">
        <is>
          <t>카테고리리더</t>
        </is>
      </c>
      <c r="G122" s="38" t="inlineStr">
        <is>
          <t>라이프스타일</t>
        </is>
      </c>
      <c r="H122" s="38" t="inlineStr">
        <is>
          <t>등산·러닝·자전거 이용자, 전연령</t>
        </is>
      </c>
      <c r="I122" s="38" t="inlineStr">
        <is>
          <t>앱단독+웨어러블연동</t>
        </is>
      </c>
      <c r="J122" s="38" t="inlineStr">
        <is>
          <t>GPS기록,등산코스내비게이션,걷기/자전거경로탐색</t>
        </is>
      </c>
      <c r="K122" s="38" t="inlineStr">
        <is>
          <t>배지·경험치,지도정보,커뮤니티미션</t>
        </is>
      </c>
      <c r="L122" s="25" t="inlineStr">
        <is>
          <t>Subscription(구독형)</t>
        </is>
      </c>
      <c r="M122" s="38" t="inlineStr">
        <is>
          <t>Kakao VX(구 Beagle) 운영, 등산 특화 GPS 트래킹으로 국내 저변 넓음</t>
        </is>
      </c>
      <c r="N122" s="26" t="n">
        <v>46273</v>
      </c>
      <c r="O122" s="26" t="n">
        <v>46273</v>
      </c>
      <c r="S122" s="38" t="inlineStr">
        <is>
          <t>유료 가격 미확인. 로그인 오류 등 UX 안정성 이슈 리뷰 다수</t>
        </is>
      </c>
      <c r="T122" s="38" t="inlineStr">
        <is>
          <t>무료+인앱구매, 유료 등급별 정가 확인 실패</t>
        </is>
      </c>
    </row>
    <row r="123" ht="15.75" customHeight="1" s="42">
      <c r="A123" s="29" t="inlineStr">
        <is>
          <t>CP122</t>
        </is>
      </c>
      <c r="B123" s="38" t="inlineStr">
        <is>
          <t>Nike Run Club</t>
        </is>
      </c>
      <c r="C123" s="38" t="inlineStr">
        <is>
          <t>운동</t>
        </is>
      </c>
      <c r="D123" s="38" t="inlineStr">
        <is>
          <t>데이터기록관리</t>
        </is>
      </c>
      <c r="E123" s="38" t="inlineStr">
        <is>
          <t>미국</t>
        </is>
      </c>
      <c r="F123" s="38" t="inlineStr">
        <is>
          <t>플랫폼</t>
        </is>
      </c>
      <c r="G123" s="38" t="inlineStr">
        <is>
          <t>라이프스타일</t>
        </is>
      </c>
      <c r="H123" s="38" t="inlineStr">
        <is>
          <t>러너</t>
        </is>
      </c>
      <c r="I123" s="38" t="inlineStr">
        <is>
          <t>앱단독</t>
        </is>
      </c>
      <c r="J123" s="38" t="inlineStr">
        <is>
          <t>GPS러닝기록,가이드런,코칭플랜</t>
        </is>
      </c>
      <c r="K123" s="38" t="inlineStr">
        <is>
          <t>배지·기록챌린지,브랜드멤버십</t>
        </is>
      </c>
      <c r="L123" s="25" t="inlineStr">
        <is>
          <t>Leverage Customer Data(데이터활용)</t>
        </is>
      </c>
      <c r="M123" s="38" t="inlineStr">
        <is>
          <t>2026년 기준 전체 기능 완전 무료 — 나이키 제품·멤버십 판매를 위한 브랜드 채널 성격</t>
        </is>
      </c>
      <c r="N123" s="26" t="n">
        <v>46273</v>
      </c>
      <c r="O123" s="26" t="n">
        <v>46273</v>
      </c>
      <c r="S123" s="38" t="inlineStr">
        <is>
          <t>자체 수익모델 없음 — bm_mapping 집계 시 '무료' 편향 데이터로 잡힐 수 있음</t>
        </is>
      </c>
      <c r="T123" s="38" t="inlineStr">
        <is>
          <t>완전 무료(유료 등급 없음)</t>
        </is>
      </c>
    </row>
    <row r="124" ht="15.75" customHeight="1" s="42">
      <c r="A124" s="29" t="inlineStr">
        <is>
          <t>CP123</t>
        </is>
      </c>
      <c r="B124" s="38" t="inlineStr">
        <is>
          <t>adidas Running</t>
        </is>
      </c>
      <c r="C124" s="38" t="inlineStr">
        <is>
          <t>운동</t>
        </is>
      </c>
      <c r="D124" s="38" t="inlineStr">
        <is>
          <t>데이터기록관리</t>
        </is>
      </c>
      <c r="E124" s="38" t="inlineStr">
        <is>
          <t>오스트리아</t>
        </is>
      </c>
      <c r="F124" s="38" t="inlineStr">
        <is>
          <t>카테고리리더</t>
        </is>
      </c>
      <c r="G124" s="38" t="inlineStr">
        <is>
          <t>라이프스타일</t>
        </is>
      </c>
      <c r="H124" s="38" t="inlineStr">
        <is>
          <t>러너, 멀티스포츠 이용자</t>
        </is>
      </c>
      <c r="I124" s="38" t="inlineStr">
        <is>
          <t>앱단독+웨어러블연동</t>
        </is>
      </c>
      <c r="J124" s="38" t="inlineStr">
        <is>
          <t>100+종목기록,훈련부하분석,인터벌트레이닝</t>
        </is>
      </c>
      <c r="K124" s="38" t="inlineStr">
        <is>
          <t>adiClub포인트연계,개인기록관리</t>
        </is>
      </c>
      <c r="L124" s="25" t="inlineStr">
        <is>
          <t>Subscription(구독형)</t>
        </is>
      </c>
      <c r="M124" s="38" t="inlineStr">
        <is>
          <t>2015년 adidas가 Runtastic 인수. 2026.07 자료는 Premium 유지, 2025.12 일부 매체는 '프리미엄 폐지·전체무료 전환' 보도 — 정책 변경 중 상충정보 있음</t>
        </is>
      </c>
      <c r="N124" s="26" t="n">
        <v>46273</v>
      </c>
      <c r="O124" s="26" t="n">
        <v>46273</v>
      </c>
      <c r="S124" s="38" t="inlineStr">
        <is>
          <t>가격정책 변동 확인 필요, 지역·시점별 정보 상충</t>
        </is>
      </c>
      <c r="T124" s="38" t="inlineStr">
        <is>
          <t>Premium 월 $9.99 / 연 $49.99 (2026.07 기준)</t>
        </is>
      </c>
    </row>
    <row r="125" ht="15.75" customHeight="1" s="42">
      <c r="A125" s="29" t="inlineStr">
        <is>
          <t>CP124</t>
        </is>
      </c>
      <c r="B125" s="36" t="inlineStr">
        <is>
          <t>식단 착착</t>
        </is>
      </c>
      <c r="C125" s="36" t="inlineStr">
        <is>
          <t>식단</t>
        </is>
      </c>
      <c r="D125" s="36" t="inlineStr">
        <is>
          <t>데이터기록관리</t>
        </is>
      </c>
      <c r="E125" s="36" t="inlineStr">
        <is>
          <t>한국</t>
        </is>
      </c>
      <c r="F125" s="36" t="inlineStr">
        <is>
          <t>일반경쟁자</t>
        </is>
      </c>
      <c r="G125" s="36" t="inlineStr">
        <is>
          <t>라이프스타일</t>
        </is>
      </c>
      <c r="H125" s="36" t="inlineStr">
        <is>
          <t xml:space="preserve">다이어터, 식단 관리자 </t>
        </is>
      </c>
      <c r="I125" s="36" t="inlineStr">
        <is>
          <t>앱단독</t>
        </is>
      </c>
      <c r="J125" s="36" t="inlineStr">
        <is>
          <t>AI칼로리/영양자동계산,사진기록</t>
        </is>
      </c>
      <c r="K125" s="36" t="inlineStr">
        <is>
          <t>태그 분류, 식단 관리, 식단 일기, 식단 계획</t>
        </is>
      </c>
      <c r="L125" s="34" t="inlineStr">
        <is>
          <t>Freemium(프리미엄)</t>
        </is>
      </c>
      <c r="M125" s="36" t="inlineStr">
        <is>
          <t>이유식·가족식단 등 다이어트 외 확장 태그가 특징, 코칭 기능 없음</t>
        </is>
      </c>
      <c r="N125" s="35" t="n">
        <v>46273</v>
      </c>
      <c r="O125" s="35" t="n">
        <v>46273</v>
      </c>
      <c r="P125" s="36" t="n"/>
      <c r="Q125" s="36" t="n"/>
      <c r="R125" s="36" t="n"/>
      <c r="S125" s="36" t="inlineStr">
        <is>
          <t>코칭·전문성 부재, 단순 기록형이라 차별화 요소 약함</t>
        </is>
      </c>
      <c r="T125" s="48" t="n">
        <v>9900</v>
      </c>
      <c r="U125" s="36" t="n"/>
      <c r="V125" s="36" t="n"/>
      <c r="W125" s="36" t="n"/>
      <c r="X125" s="36" t="n"/>
      <c r="Y125" s="36" t="n"/>
      <c r="Z125" s="36" t="n"/>
    </row>
    <row r="126" ht="15.75" customHeight="1" s="42">
      <c r="A126" s="29" t="inlineStr">
        <is>
          <t>CP125</t>
        </is>
      </c>
      <c r="B126" s="38" t="inlineStr">
        <is>
          <t>YAZIO(야지오)</t>
        </is>
      </c>
      <c r="C126" s="38" t="inlineStr">
        <is>
          <t>식단</t>
        </is>
      </c>
      <c r="D126" s="38" t="inlineStr">
        <is>
          <t>데이터기록관리</t>
        </is>
      </c>
      <c r="E126" s="38" t="inlineStr">
        <is>
          <t>독일</t>
        </is>
      </c>
      <c r="F126" s="38" t="inlineStr">
        <is>
          <t>카테고리리더</t>
        </is>
      </c>
      <c r="G126" s="38" t="inlineStr">
        <is>
          <t>라이프스타일</t>
        </is>
      </c>
      <c r="H126" s="38" t="inlineStr">
        <is>
          <t>다이어터, 체중감량/근육증량/체중유지 희망자, 남녀 전연령</t>
        </is>
      </c>
      <c r="I126" s="38" t="inlineStr">
        <is>
          <t>앱단독</t>
        </is>
      </c>
      <c r="J126" s="38" t="inlineStr">
        <is>
          <t>AI칼로리추적,바코드스캐너,간헐적단식(16:8·5:2)</t>
        </is>
      </c>
      <c r="K126" s="38" t="inlineStr">
        <is>
          <t>레시피(2,900+),장보기목록,걸음수/운동/증상통합추적,물섭취량알림,Fitbit·Garmin연동(Pro)</t>
        </is>
      </c>
      <c r="L126" s="25" t="inlineStr">
        <is>
          <t>Freemium(프리미엄)</t>
        </is>
      </c>
      <c r="M126" s="38" t="inlineStr">
        <is>
          <t>400만+ 검색가능 음식DB, 가입 없이 즉시 이용 가능. Pro는 광고제거·심층분석·맞춤플랜·장기추세분석 등 고급기능 묶음으로 제공</t>
        </is>
      </c>
      <c r="N126" s="26" t="n">
        <v>46273</v>
      </c>
      <c r="O126" s="26" t="n">
        <v>46273</v>
      </c>
      <c r="S126" s="38" t="inlineStr">
        <is>
          <t>무료판도 기록·바코드스캔·레시피 열람 등 핵심기능을 상당수 제공해 유료 전환 유인이 상대적으로 약함. Pro의 세부 요금 구간이 스토어 설명에 명시되지 않아 정확한 국내 결제금액 확인 필요</t>
        </is>
      </c>
      <c r="T126" s="38" t="inlineStr">
        <is>
          <t>인앱구매 항목당 ₩6,300~₩450,000</t>
        </is>
      </c>
    </row>
    <row r="127" ht="15.75" customHeight="1" s="42">
      <c r="A127" s="29" t="inlineStr">
        <is>
          <t>CP126</t>
        </is>
      </c>
      <c r="B127" s="38" t="inlineStr">
        <is>
          <t>Cronometer(크로노미터)</t>
        </is>
      </c>
      <c r="C127" s="38" t="inlineStr">
        <is>
          <t>식단</t>
        </is>
      </c>
      <c r="D127" s="38" t="inlineStr">
        <is>
          <t>데이터기록관리</t>
        </is>
      </c>
      <c r="E127" s="38" t="inlineStr">
        <is>
          <t>캐나다</t>
        </is>
      </c>
      <c r="F127" s="38" t="inlineStr">
        <is>
          <t>카테고리리더</t>
        </is>
      </c>
      <c r="G127" s="38" t="inlineStr">
        <is>
          <t>라이프스타일</t>
        </is>
      </c>
      <c r="H127" s="38" t="inlineStr">
        <is>
          <t>다이어터, 매크로영양소 추적자, 신진대사 건강 관리자, 영양사·의료전문가·운동선수 등 전문가급 사용자</t>
        </is>
      </c>
      <c r="I127" s="38" t="inlineStr">
        <is>
          <t>앱단독</t>
        </is>
      </c>
      <c r="J127" s="38" t="inlineStr">
        <is>
          <t>검증된영양DB(110만+식품,95종+영양소·화합물추적),AI사진/음성기록,단식추적</t>
        </is>
      </c>
      <c r="K127" s="38" t="inlineStr">
        <is>
          <t>맞춤차트/보고서,영양점수,Health Connect·WearOS·Fitbit·Garmin·Oura·WHOOP·Dexcom연동,크로노코치</t>
        </is>
      </c>
      <c r="L127" s="25" t="inlineStr">
        <is>
          <t>Freemium(프리미엄)</t>
        </is>
      </c>
      <c r="M127" s="43" t="inlineStr">
        <is>
          <t>원이 검토한 NCC 데이터베이스 기반으로 "정확도"가 핵심 차별점(크라우드소싱 아님). 무료판도 검색·바코드스캔(무료)·기본 식단일지 제공. 헬스라인·위민스헬스 등 매체 소개.</t>
        </is>
      </c>
      <c r="N127" s="26" t="n">
        <v>46273</v>
      </c>
      <c r="O127" s="26" t="n">
        <v>46273</v>
      </c>
      <c r="S127" s="38" t="inlineStr">
        <is>
          <t>무료판이 바코드스캔·기본 기록까지 커버해 상당수 사용자는 무료로도 충분. Gold의 AI사진/음성기록, 단식추적, 크로노코치 등 고급기능이 유료 전환의 핵심 유인. 일반 소비자용 코칭 깊이는 얕고, 전문가용 Cronometer Professional은 별도 B2B 라인</t>
        </is>
      </c>
      <c r="T127" s="38" t="inlineStr">
        <is>
          <t>월 $10.99/연 $59.99, 프로모션 시 연 $38.49~54.99</t>
        </is>
      </c>
    </row>
    <row r="128" ht="15.75" customHeight="1" s="42">
      <c r="A128" s="29" t="inlineStr">
        <is>
          <t>CP127</t>
        </is>
      </c>
      <c r="B128" s="38" t="inlineStr">
        <is>
          <t>FatSecret(칼로리 카운터)</t>
        </is>
      </c>
      <c r="C128" s="38" t="inlineStr">
        <is>
          <t>식단</t>
        </is>
      </c>
      <c r="D128" s="38" t="inlineStr">
        <is>
          <t>데이터기록관리</t>
        </is>
      </c>
      <c r="E128" s="38" t="inlineStr">
        <is>
          <t>호주</t>
        </is>
      </c>
      <c r="F128" s="38" t="inlineStr">
        <is>
          <t>카테고리리더</t>
        </is>
      </c>
      <c r="G128" s="38" t="inlineStr">
        <is>
          <t>라이프스타일</t>
        </is>
      </c>
      <c r="H128" s="38" t="inlineStr">
        <is>
          <t>다이어터, 전연령</t>
        </is>
      </c>
      <c r="I128" s="38" t="inlineStr">
        <is>
          <t>앱단독</t>
        </is>
      </c>
      <c r="J128" s="38" t="inlineStr">
        <is>
          <t>크라우드소싱식품DB,바코드스캐너,이미지인식(음식사진기록)</t>
        </is>
      </c>
      <c r="K128" s="38" t="inlineStr">
        <is>
          <t>운동다이어리,체중추적,다이어트달력,Samsung Health·Google Fit·Fitbit연동,Facebook/Google로그인</t>
        </is>
      </c>
      <c r="L128" s="25" t="inlineStr">
        <is>
          <t>Leverage Customer Data(데이터활용)</t>
        </is>
      </c>
      <c r="M128" s="38" t="inlineStr">
        <is>
          <t>스토어 설명에서 "fatsecret은 무료입니다"를 명시적으로 강조 — 핵심기능(음식/운동/체중 기록, 바코드스캔, 이미지인식, 리포트, 계정 동기화) 전부 무료 제공. 프리미엄은 식단 플래너·맞춤 식사유형(6종 추가)·물섭취량 기록 등 부가기능 위주로 상대적으로 가벼움</t>
        </is>
      </c>
      <c r="N128" s="26" t="n">
        <v>46273</v>
      </c>
      <c r="O128" s="26" t="n">
        <v>46273</v>
      </c>
      <c r="S128" s="38" t="inlineStr">
        <is>
          <t>무료판 기능 범위가 이미 넓어(YAZIO·MyFitnessPal 대비) 프리미엄 전환 유인이 가장 약한 축. 프리미엄 혜택이 "식단 플래너·식사유형 확장·물섭취 알림" 등 편의기능 위주라 핵심 차별화(AI코칭 등)는 부재</t>
        </is>
      </c>
      <c r="T128" s="38" t="inlineStr">
        <is>
          <t>인앱구매 항목당 ₩19,900~₩95,000</t>
        </is>
      </c>
    </row>
    <row r="129" ht="15.75" customHeight="1" s="42">
      <c r="A129" s="29" t="inlineStr">
        <is>
          <t>CP128</t>
        </is>
      </c>
      <c r="B129" s="38" t="inlineStr">
        <is>
          <t>런데이(RunDay)</t>
        </is>
      </c>
      <c r="C129" s="38" t="inlineStr">
        <is>
          <t>운동</t>
        </is>
      </c>
      <c r="D129" s="38" t="inlineStr">
        <is>
          <t>개입치료</t>
        </is>
      </c>
      <c r="E129" s="38" t="inlineStr">
        <is>
          <t>한국</t>
        </is>
      </c>
      <c r="F129" s="38" t="inlineStr">
        <is>
          <t>카테고리리더</t>
        </is>
      </c>
      <c r="G129" s="38" t="inlineStr">
        <is>
          <t>라이프스타일</t>
        </is>
      </c>
      <c r="H129" s="38" t="inlineStr">
        <is>
          <t>러닝 초보자~숙련자, 전연령(체력시험 준비생, 등산객 포함)</t>
        </is>
      </c>
      <c r="I129" s="38" t="inlineStr">
        <is>
          <t>앱단독+웨어러블연동</t>
        </is>
      </c>
      <c r="J129" s="38" t="inlineStr">
        <is>
          <t>100%풀보이스코칭,AI맞춤러닝플랜(5K/10K/하프),계단오르기챌린지</t>
        </is>
      </c>
      <c r="K129" s="38" t="inlineStr">
        <is>
          <t>실시간비대면마라톤,러닝크루(커뮤니티),만보기,갤럭시워치·가민·Fitbit연동,WearOS단독앱</t>
        </is>
      </c>
      <c r="L129" s="25" t="inlineStr">
        <is>
          <t>Freemium(프리미엄)</t>
        </is>
      </c>
      <c r="M129" s="38" t="inlineStr">
        <is>
          <t>2016년 Google Play "올해의 앱" 선정. 2015.09.08 출시, 2026.09 기준까지 지속 업데이트 중인 스테디셀러. 다운로드 100만+</t>
        </is>
      </c>
      <c r="N129" s="26" t="n">
        <v>46273</v>
      </c>
      <c r="O129" s="26" t="n">
        <v>46273</v>
      </c>
      <c r="S129" s="38" t="inlineStr">
        <is>
          <t>오래된 서비스(출시 10년+)지만 지속 업데이트되고 있어 "기능 노후화"보다는 "AI개인화 플랜 정밀도가 최신 앱(플랜핏류) 대비 어느 정도인지 재확인 필요"</t>
        </is>
      </c>
      <c r="T129" s="38" t="inlineStr">
        <is>
          <t>인앱구매 항목당 ₩900~₩500,000 (한국 Google Play 기준). Wear OS 전용 스마트워치 멤버십(신규 훈련플랜·심박정보 등 추가 혜택)이 별도 유료 등급으로 존재,</t>
        </is>
      </c>
    </row>
    <row r="130" ht="15.75" customHeight="1" s="42">
      <c r="A130" s="29" t="inlineStr">
        <is>
          <t>CP129</t>
        </is>
      </c>
      <c r="B130" s="38" t="inlineStr">
        <is>
          <t>다이트(다이트앱)</t>
        </is>
      </c>
      <c r="C130" s="38" t="inlineStr">
        <is>
          <t>식단</t>
        </is>
      </c>
      <c r="D130" s="38" t="inlineStr">
        <is>
          <t>개입치료</t>
        </is>
      </c>
      <c r="E130" s="38" t="inlineStr">
        <is>
          <t>한국</t>
        </is>
      </c>
      <c r="F130" s="38" t="inlineStr">
        <is>
          <t>일반경쟁자</t>
        </is>
      </c>
      <c r="G130" s="38" t="inlineStr">
        <is>
          <t>라이프스타일</t>
        </is>
      </c>
      <c r="H130" s="38" t="inlineStr">
        <is>
          <t>다이어터, 혈당관리 관심층</t>
        </is>
      </c>
      <c r="I130" s="38" t="inlineStr">
        <is>
          <t>앱단독</t>
        </is>
      </c>
      <c r="J130" s="38" t="inlineStr">
        <is>
          <t>AI카메라식단기록(당질·탄단지자동계산),혈당관리,체중추세분석(최대2개월)</t>
        </is>
      </c>
      <c r="K130" s="38" t="inlineStr">
        <is>
          <t>걷기·음수량·수면기록,일일미션,식단레시피영상,매거진,운동영상</t>
        </is>
      </c>
      <c r="L130" s="25" t="inlineStr">
        <is>
          <t>Freemium(프리미엄)</t>
        </is>
      </c>
      <c r="M130" s="38" t="inlineStr">
        <is>
          <t>AI카메라 식단기록에 이번에 "혈당관리" 신규 기능이 추가됨</t>
        </is>
      </c>
      <c r="N130" s="26" t="n">
        <v>46273</v>
      </c>
      <c r="O130" s="26" t="n">
        <v>46273</v>
      </c>
      <c r="S130" s="38" t="inlineStr">
        <is>
          <t>다운로드 수 대비 오프라인(한방병원) 매출 의존도가 매우 높아, 앱 자체의 독자적 수익모델과 사용자 기반은 아직 약함. 1:1 코칭이 앱 내 기능인지 오프라인 연계 상품인지 스토어 설명만으로는 명확히 구분 안 됨</t>
        </is>
      </c>
      <c r="T130" s="43" t="inlineStr">
        <is>
          <t>알수없</t>
        </is>
      </c>
    </row>
    <row r="131" ht="15.75" customHeight="1" s="42">
      <c r="A131" s="29" t="inlineStr">
        <is>
          <t>CP130</t>
        </is>
      </c>
      <c r="B131" s="38" t="inlineStr">
        <is>
          <t>Hevy</t>
        </is>
      </c>
      <c r="C131" s="38" t="inlineStr">
        <is>
          <t>운동</t>
        </is>
      </c>
      <c r="D131" s="38" t="inlineStr">
        <is>
          <t>데이터기록관리</t>
        </is>
      </c>
      <c r="E131" s="38" t="inlineStr">
        <is>
          <t>미국</t>
        </is>
      </c>
      <c r="F131" s="38" t="inlineStr">
        <is>
          <t>카테고리리더</t>
        </is>
      </c>
      <c r="G131" s="38" t="inlineStr">
        <is>
          <t>라이프스타일</t>
        </is>
      </c>
      <c r="H131" s="38" t="inlineStr">
        <is>
          <t>웨이트/근력트레이닝 이용자</t>
        </is>
      </c>
      <c r="I131" s="38" t="inlineStr">
        <is>
          <t>앱단독+웨어러블연동(WearOS)</t>
        </is>
      </c>
      <c r="J131" s="38" t="inlineStr">
        <is>
          <t>운동기록,루틴플래너,근육그룹분석</t>
        </is>
      </c>
      <c r="K131" s="38" t="inlineStr">
        <is>
          <t>친구팔로우(소셜),1RM계산,WearOS단독앱(심박수추적),200+운동영상</t>
        </is>
      </c>
      <c r="L131" s="25" t="inlineStr">
        <is>
          <t>Freemium(프리미엄)</t>
        </is>
      </c>
      <c r="M131" s="38" t="inlineStr">
        <is>
          <t>"광고 없고 무료"를 강하게 내세움 — 무료판도 로그·그래프·타이머 등 핵심기능 관대하게 제공(단, 루틴 4개·커스텀운동 7개·3개월 기록 한도). Pro는 "Trainer"(로그 기반 중량 자동조정 알고리즘)·무제한 루틴/기록·웜업계산기 등 추가.</t>
        </is>
      </c>
      <c r="N131" s="26" t="n">
        <v>46273</v>
      </c>
      <c r="O131" s="26" t="n">
        <v>46273</v>
      </c>
      <c r="S131" s="38" t="inlineStr">
        <is>
          <t>Hevy는 "기록/로거"이지 코칭 앱이 아님 — 수면·HRV·회복 데이터를 프로그래밍에 반영하지 않음(전용 GPT 연동으로 대화형 조회는 가능해짐).</t>
        </is>
      </c>
      <c r="T131" s="43" t="inlineStr">
        <is>
          <t>항목당 ₩4,000~₩95,000(한국 기준)월 $2.99 / 연 $23.99 / 평생 $74.99</t>
        </is>
      </c>
    </row>
    <row r="132" ht="15.75" customHeight="1" s="42">
      <c r="A132" s="29" t="inlineStr">
        <is>
          <t>CP131</t>
        </is>
      </c>
      <c r="B132" s="38" t="inlineStr">
        <is>
          <t>루션(Roution)</t>
        </is>
      </c>
      <c r="C132" s="38" t="inlineStr">
        <is>
          <t>식단</t>
        </is>
      </c>
      <c r="D132" s="38" t="inlineStr">
        <is>
          <t>매칭연결</t>
        </is>
      </c>
      <c r="E132" s="38" t="inlineStr">
        <is>
          <t>한국</t>
        </is>
      </c>
      <c r="F132" s="38" t="inlineStr">
        <is>
          <t>일반경쟁자</t>
        </is>
      </c>
      <c r="G132" s="38" t="inlineStr">
        <is>
          <t>라이프스타일</t>
        </is>
      </c>
      <c r="H132" s="38" t="inlineStr">
        <is>
          <t>다이어터, 컬리 이용 고객(건강한 식습관 형성 희망자)</t>
        </is>
      </c>
      <c r="I132" s="38" t="inlineStr">
        <is>
          <t>앱단독(컬리 계정 연동 필수)</t>
        </is>
      </c>
      <c r="J132" s="38" t="inlineStr">
        <is>
          <t>AI식단추천,컬리커머스연동(원클릭구매),사진식단기록</t>
        </is>
      </c>
      <c r="K132" s="38" t="inlineStr">
        <is>
          <t>만보기,포인트리워드(컬리쿠폰전환)</t>
        </is>
      </c>
      <c r="L132" s="25" t="inlineStr">
        <is>
          <t>Leverage Customer Data(데이터활용)</t>
        </is>
      </c>
      <c r="M132" s="38" t="inlineStr">
        <is>
          <t>컬리가 직접 출시한 AI 식단관리 앱.구글 생성형 AI로 컬리의 방대한 상품 데이터를 분석해 사용자별 맞춤 식단을 추천하고 컬리 앱 구매로 즉시 연결. 컬리 계정으로만 가입 가능. 컬리 측은 향후 체중·체지방·혈당·수면 등 건강지표 확장 계획 밝힘</t>
        </is>
      </c>
      <c r="N132" s="26" t="n">
        <v>46273</v>
      </c>
      <c r="O132" s="26" t="n">
        <v>46273</v>
      </c>
      <c r="S132" s="38" t="inlineStr">
        <is>
          <t>컬리 계정 필수라 컬리 비회원은 진입 불가(플랫폼 록인). 앱 자체의 독자적 유료화 모델은 없고 어디까지나 컬리 커머스 판매를 위한 유입 채널 성격</t>
        </is>
      </c>
      <c r="T132" s="38" t="inlineStr">
        <is>
          <t>스토어 리스팅에 인앱구매 항목 없음 — 앱 자체는 무료, 수익원은 앱이 아닌 컬리 본체 커머스 매출(식재료 판매) 연계로 추정</t>
        </is>
      </c>
    </row>
    <row r="133" ht="15.75" customHeight="1" s="42">
      <c r="A133" s="29" t="inlineStr">
        <is>
          <t>CP132</t>
        </is>
      </c>
      <c r="B133" s="38" t="inlineStr">
        <is>
          <t>아람(Araam)</t>
        </is>
      </c>
      <c r="C133" s="38" t="inlineStr">
        <is>
          <t>정신건강</t>
        </is>
      </c>
      <c r="D133" s="38" t="inlineStr">
        <is>
          <t>개입치료</t>
        </is>
      </c>
      <c r="E133" s="38" t="inlineStr">
        <is>
          <t>글로벌</t>
        </is>
      </c>
      <c r="F133" s="38" t="inlineStr">
        <is>
          <t>일반경쟁자</t>
        </is>
      </c>
      <c r="G133" s="38" t="inlineStr">
        <is>
          <t>라이프스타일</t>
        </is>
      </c>
      <c r="H133" s="38" t="inlineStr">
        <is>
          <t>개인</t>
        </is>
      </c>
      <c r="I133" s="38" t="inlineStr">
        <is>
          <t>무료 정신건강 관리 웹앱</t>
        </is>
      </c>
      <c r="J133" s="38" t="inlineStr">
        <is>
          <t>호흡훈련,명상,감정관리</t>
        </is>
      </c>
      <c r="K133" s="38" t="inlineStr">
        <is>
          <t>감정일기,CBT기록,자가검사,AI웰빙동반자,습관추적</t>
        </is>
      </c>
      <c r="L133" s="25" t="inlineStr">
        <is>
          <t>Self-service(셀프서비스)</t>
        </is>
      </c>
      <c r="M133" s="38" t="inlineStr">
        <is>
          <t>호흡훈련·감정일기·CBT 기록·자가검사·AI 웰빙 동반자를 제공하는 무료 정신건강 관리 웹앱</t>
        </is>
      </c>
      <c r="N133" s="39" t="inlineStr">
        <is>
          <t>2026-09-13</t>
        </is>
      </c>
      <c r="O133" s="39" t="inlineStr">
        <is>
          <t>2026-09-13</t>
        </is>
      </c>
      <c r="P133" s="26" t="n"/>
      <c r="Q133" s="26" t="n"/>
      <c r="S133" s="38" t="inlineStr">
        <is>
          <t>자가관리 도구 중심이므로 위기 상황이나 전문 진단·치료가 필요한 이용자에게는 충분하지 않을 수 있음</t>
        </is>
      </c>
      <c r="T133" s="38" t="inlineStr">
        <is>
          <t>무료 이용; 공개 페이지 기준 별도 유료 요금 없음</t>
        </is>
      </c>
    </row>
    <row r="134" ht="15.75" customHeight="1" s="42">
      <c r="A134" s="29" t="inlineStr">
        <is>
          <t>CP133</t>
        </is>
      </c>
      <c r="B134" s="38" t="inlineStr">
        <is>
          <t>와이사(Wysa)</t>
        </is>
      </c>
      <c r="C134" s="38" t="inlineStr">
        <is>
          <t>정신건강</t>
        </is>
      </c>
      <c r="D134" s="38" t="inlineStr">
        <is>
          <t>개입치료</t>
        </is>
      </c>
      <c r="E134" s="38" t="inlineStr">
        <is>
          <t>영국</t>
        </is>
      </c>
      <c r="F134" s="38" t="inlineStr">
        <is>
          <t>일반경쟁자</t>
        </is>
      </c>
      <c r="G134" s="38" t="inlineStr">
        <is>
          <t>라이프스타일</t>
        </is>
      </c>
      <c r="H134" s="38" t="inlineStr">
        <is>
          <t>개인,기업임직원</t>
        </is>
      </c>
      <c r="I134" s="38" t="inlineStr">
        <is>
          <t>AI 정신건강 챗봇</t>
        </is>
      </c>
      <c r="J134" s="38" t="inlineStr">
        <is>
          <t>AI상담,감정관리,CBT</t>
        </is>
      </c>
      <c r="K134" s="38" t="inlineStr">
        <is>
          <t>대화형지원,마음챙김,자가관리,기업웰니스</t>
        </is>
      </c>
      <c r="L134" s="25" t="inlineStr">
        <is>
          <t>Freemium(프리미엄)</t>
        </is>
      </c>
      <c r="M134" s="38" t="inlineStr">
        <is>
          <t>AI 대화형 지원과 CBT·마음챙김 기반 자기관리 도구를 제공하는 정신건강 앱</t>
        </is>
      </c>
      <c r="N134" s="39" t="inlineStr">
        <is>
          <t>2026-09-13</t>
        </is>
      </c>
      <c r="O134" s="39" t="inlineStr">
        <is>
          <t>2026-09-13</t>
        </is>
      </c>
      <c r="P134" s="26" t="n"/>
      <c r="Q134" s="26" t="n"/>
      <c r="S134" s="38" t="inlineStr">
        <is>
          <t>AI 대화가 전문 상담사나 응급 정신건강 지원을 대체할 수 없으며, 대화 품질과 안전성에 한계가 있음</t>
        </is>
      </c>
      <c r="T134" s="38" t="inlineStr">
        <is>
          <t>기본 AI 대화 및 일부 콘텐츠 무료; 프리미엄·기업용 요금은 국가와 계약 조건별 상이</t>
        </is>
      </c>
    </row>
    <row r="135" ht="15.75" customHeight="1" s="42">
      <c r="A135" s="29" t="inlineStr">
        <is>
          <t>CP134</t>
        </is>
      </c>
      <c r="B135" s="38" t="inlineStr">
        <is>
          <t>유퍼(Youper)</t>
        </is>
      </c>
      <c r="C135" s="38" t="inlineStr">
        <is>
          <t>정신건강</t>
        </is>
      </c>
      <c r="D135" s="38" t="inlineStr">
        <is>
          <t>데이터기록관리</t>
        </is>
      </c>
      <c r="E135" s="38" t="inlineStr">
        <is>
          <t>미국</t>
        </is>
      </c>
      <c r="F135" s="38" t="inlineStr">
        <is>
          <t>일반경쟁자</t>
        </is>
      </c>
      <c r="G135" s="38" t="inlineStr">
        <is>
          <t>라이프스타일</t>
        </is>
      </c>
      <c r="H135" s="38" t="inlineStr">
        <is>
          <t>개인</t>
        </is>
      </c>
      <c r="I135" s="38" t="inlineStr">
        <is>
          <t>AI 감정관리 앱</t>
        </is>
      </c>
      <c r="J135" s="38" t="inlineStr">
        <is>
          <t>AI감정관리,기분추적,자가관리</t>
        </is>
      </c>
      <c r="K135" s="38" t="inlineStr">
        <is>
          <t>감정기록,대화형가이드,심리인사이트,마음챙김</t>
        </is>
      </c>
      <c r="L135" s="25" t="inlineStr">
        <is>
          <t>Freemium(프리미엄)</t>
        </is>
      </c>
      <c r="M135" s="38" t="inlineStr">
        <is>
          <t>AI 대화와 감정 기록, 기분 추적을 통해 자기이해와 감정관리를 지원하는 앱</t>
        </is>
      </c>
      <c r="N135" s="39" t="inlineStr">
        <is>
          <t>2026-09-13</t>
        </is>
      </c>
      <c r="O135" s="39" t="inlineStr">
        <is>
          <t>2026-09-13</t>
        </is>
      </c>
      <c r="P135" s="26" t="n"/>
      <c r="Q135" s="26" t="n"/>
      <c r="S135" s="38" t="inlineStr">
        <is>
          <t>AI 기반 자기관리 중심이라 임상적 진단·치료를 대신할 수 없으며, 사용자의 자기보고 데이터에 의존함</t>
        </is>
      </c>
      <c r="T135" s="38" t="inlineStr">
        <is>
          <t>기본 기능 무료 또는 제한적 이용; 프리미엄 기능의 최신 가격은 앱스토어 확인 필요</t>
        </is>
      </c>
    </row>
    <row r="136" ht="15.75" customHeight="1" s="42">
      <c r="A136" s="29" t="inlineStr">
        <is>
          <t>CP135</t>
        </is>
      </c>
      <c r="B136" s="38" t="inlineStr">
        <is>
          <t>해피파이(Happify)</t>
        </is>
      </c>
      <c r="C136" s="38" t="inlineStr">
        <is>
          <t>정신건강</t>
        </is>
      </c>
      <c r="D136" s="38" t="inlineStr">
        <is>
          <t>개입치료</t>
        </is>
      </c>
      <c r="E136" s="38" t="inlineStr">
        <is>
          <t>미국</t>
        </is>
      </c>
      <c r="F136" s="38" t="inlineStr">
        <is>
          <t>일반경쟁자</t>
        </is>
      </c>
      <c r="G136" s="38" t="inlineStr">
        <is>
          <t>라이프스타일</t>
        </is>
      </c>
      <c r="H136" s="38" t="inlineStr">
        <is>
          <t>개인,기업임직원</t>
        </is>
      </c>
      <c r="I136" s="38" t="inlineStr">
        <is>
          <t>디지털 긍정심리·스트레스 관리 앱</t>
        </is>
      </c>
      <c r="J136" s="38" t="inlineStr">
        <is>
          <t>스트레스관리,긍정심리,CBT</t>
        </is>
      </c>
      <c r="K136" s="38" t="inlineStr">
        <is>
          <t>심리활동,게임형훈련,감정관리,웰빙트랙</t>
        </is>
      </c>
      <c r="L136" s="25" t="inlineStr">
        <is>
          <t>Subscription(구독형)</t>
        </is>
      </c>
      <c r="M136" s="38" t="inlineStr">
        <is>
          <t>긍정심리·인지행동 기반 활동과 게임형 훈련을 제공하는 정신건강 웰니스 앱</t>
        </is>
      </c>
      <c r="N136" s="39" t="inlineStr">
        <is>
          <t>2026-09-13</t>
        </is>
      </c>
      <c r="O136" s="39" t="inlineStr">
        <is>
          <t>2026-09-13</t>
        </is>
      </c>
      <c r="P136" s="26" t="n"/>
      <c r="Q136" s="26" t="n"/>
      <c r="S136" s="38" t="inlineStr">
        <is>
          <t>과학 기반 프로그램을 표방하지만 개인별 임상평가나 전문 치료를 대체할 수 없고, 전체 기능 이용에 구독이 필요함</t>
        </is>
      </c>
      <c r="T136" s="38" t="inlineStr">
        <is>
          <t>일부 기능 무료; 미국 기준 월 14.99달러, 연 139.99달러, 평생 이용권 449.99달러 수준</t>
        </is>
      </c>
    </row>
    <row r="137" ht="15.75" customHeight="1" s="42">
      <c r="A137" s="29" t="inlineStr">
        <is>
          <t>CP136</t>
        </is>
      </c>
      <c r="B137" s="38" t="inlineStr">
        <is>
          <t>샌벨로(Sanvello)</t>
        </is>
      </c>
      <c r="C137" s="38" t="inlineStr">
        <is>
          <t>정신건강</t>
        </is>
      </c>
      <c r="D137" s="38" t="inlineStr">
        <is>
          <t>개입치료</t>
        </is>
      </c>
      <c r="E137" s="38" t="inlineStr">
        <is>
          <t>미국</t>
        </is>
      </c>
      <c r="F137" s="38" t="inlineStr">
        <is>
          <t>일반경쟁자</t>
        </is>
      </c>
      <c r="G137" s="38" t="inlineStr">
        <is>
          <t>라이프스타일</t>
        </is>
      </c>
      <c r="H137" s="38" t="inlineStr">
        <is>
          <t>개인,보험가입자</t>
        </is>
      </c>
      <c r="I137" s="38" t="inlineStr">
        <is>
          <t>불안·우울 관리 앱</t>
        </is>
      </c>
      <c r="J137" s="38" t="inlineStr">
        <is>
          <t>불안관리,우울관리,CBT</t>
        </is>
      </c>
      <c r="K137" s="38" t="inlineStr">
        <is>
          <t>기분추적,대처훈련,자가관리,심리교육</t>
        </is>
      </c>
      <c r="L137" s="25" t="inlineStr">
        <is>
          <t>Freemium(프리미엄)</t>
        </is>
      </c>
      <c r="M137" s="38" t="inlineStr">
        <is>
          <t>불안·우울·스트레스 관리를 위한 기분 기록과 CBT 기반 활동을 제공하는 앱</t>
        </is>
      </c>
      <c r="N137" s="39" t="inlineStr">
        <is>
          <t>2026-09-13</t>
        </is>
      </c>
      <c r="O137" s="39" t="inlineStr">
        <is>
          <t>2026-09-13</t>
        </is>
      </c>
      <c r="P137" s="26" t="n"/>
      <c r="Q137" s="26" t="n"/>
      <c r="S137" s="38" t="inlineStr">
        <is>
          <t>자가관리 도구 중심으로 중증 증상이나 위기 상황에 대한 대응이 제한되며, 보험·기관 연계 여부에 따라 이용성이 달라질 수 있음</t>
        </is>
      </c>
      <c r="T137" s="38" t="inlineStr">
        <is>
          <t>기본 기능 무료 또는 보험·기관 제공; 프리미엄 요금은 지역·보험 계약별 상이</t>
        </is>
      </c>
    </row>
    <row r="138" ht="15.75" customHeight="1" s="42">
      <c r="A138" s="29" t="inlineStr">
        <is>
          <t>CP137</t>
        </is>
      </c>
      <c r="B138" s="38" t="inlineStr">
        <is>
          <t>마인드닥(MindDoc)</t>
        </is>
      </c>
      <c r="C138" s="38" t="inlineStr">
        <is>
          <t>정신건강</t>
        </is>
      </c>
      <c r="D138" s="38" t="inlineStr">
        <is>
          <t>데이터기록관리</t>
        </is>
      </c>
      <c r="E138" s="38" t="inlineStr">
        <is>
          <t>독일</t>
        </is>
      </c>
      <c r="F138" s="38" t="inlineStr">
        <is>
          <t>일반경쟁자</t>
        </is>
      </c>
      <c r="G138" s="38" t="inlineStr">
        <is>
          <t>라이프스타일</t>
        </is>
      </c>
      <c r="H138" s="38" t="inlineStr">
        <is>
          <t>개인,환자</t>
        </is>
      </c>
      <c r="I138" s="38" t="inlineStr">
        <is>
          <t>정신건강 자기관리 앱</t>
        </is>
      </c>
      <c r="J138" s="38" t="inlineStr">
        <is>
          <t>감정기록,우울관리,불안관리</t>
        </is>
      </c>
      <c r="K138" s="38" t="inlineStr">
        <is>
          <t>심리평가,기분추적,자가관리,전문가연계</t>
        </is>
      </c>
      <c r="L138" s="25" t="inlineStr">
        <is>
          <t>Freemium(프리미엄)</t>
        </is>
      </c>
      <c r="M138" s="38" t="inlineStr">
        <is>
          <t>기분 기록과 심리 평가를 통해 우울·불안 상태의 자기이해와 관리를 지원하는 앱</t>
        </is>
      </c>
      <c r="N138" s="39" t="inlineStr">
        <is>
          <t>2026-09-13</t>
        </is>
      </c>
      <c r="O138" s="39" t="inlineStr">
        <is>
          <t>2026-09-13</t>
        </is>
      </c>
      <c r="P138" s="26" t="n"/>
      <c r="Q138" s="26" t="n"/>
      <c r="S138" s="38" t="inlineStr">
        <is>
          <t>자가평가 결과가 임상 진단을 대체할 수 없으며, 일부 기능은 의료·보험 체계와 국가별 이용 조건에 의존함</t>
        </is>
      </c>
      <c r="T138" s="38" t="inlineStr">
        <is>
          <t>기본 기능 무료 또는 제한적 이용; 프리미엄 및 치료 프로그램 가격은 국가별 상이</t>
        </is>
      </c>
    </row>
    <row r="139" ht="15.75" customHeight="1" s="42">
      <c r="A139" s="29" t="inlineStr">
        <is>
          <t>CP138</t>
        </is>
      </c>
      <c r="B139" s="38" t="inlineStr">
        <is>
          <t>모드미션(MoodMission)</t>
        </is>
      </c>
      <c r="C139" s="38" t="inlineStr">
        <is>
          <t>정신건강</t>
        </is>
      </c>
      <c r="D139" s="38" t="inlineStr">
        <is>
          <t>개입치료</t>
        </is>
      </c>
      <c r="E139" s="38" t="inlineStr">
        <is>
          <t>호주</t>
        </is>
      </c>
      <c r="F139" s="38" t="inlineStr">
        <is>
          <t>일반경쟁자</t>
        </is>
      </c>
      <c r="G139" s="38" t="inlineStr">
        <is>
          <t>라이프스타일</t>
        </is>
      </c>
      <c r="H139" s="38" t="inlineStr">
        <is>
          <t>개인</t>
        </is>
      </c>
      <c r="I139" s="38" t="inlineStr">
        <is>
          <t>기분·불안 관리 앱</t>
        </is>
      </c>
      <c r="J139" s="38" t="inlineStr">
        <is>
          <t>불안관리,기분관리,CBT</t>
        </is>
      </c>
      <c r="K139" s="38" t="inlineStr">
        <is>
          <t>맞춤미션,행동활성화,자가훈련,기분기록</t>
        </is>
      </c>
      <c r="L139" s="25" t="inlineStr">
        <is>
          <t>Freemium(프리미엄)</t>
        </is>
      </c>
      <c r="M139" s="38" t="inlineStr">
        <is>
          <t>사용자의 기분과 불안 수준에 맞춰 행동 미션과 자기관리 활동을 추천하는 앱</t>
        </is>
      </c>
      <c r="N139" s="39" t="inlineStr">
        <is>
          <t>2026-09-13</t>
        </is>
      </c>
      <c r="O139" s="39" t="inlineStr">
        <is>
          <t>2026-09-13</t>
        </is>
      </c>
      <c r="P139" s="26" t="n"/>
      <c r="Q139" s="26" t="n"/>
      <c r="S139" s="38" t="inlineStr">
        <is>
          <t>추천 미션의 효과가 이용자의 실행 여부에 의존하며, 고위험 정신건강 문제에 대한 전문적 대응이 제한됨</t>
        </is>
      </c>
      <c r="T139" s="38" t="inlineStr">
        <is>
          <t>무료 또는 제한적 기능 제공; 유료 콘텐츠·기관용 가격은 공개 정책 및 지역별 확인 필요</t>
        </is>
      </c>
    </row>
    <row r="140" ht="15.75" customHeight="1" s="42">
      <c r="A140" s="29" t="inlineStr">
        <is>
          <t>CP139</t>
        </is>
      </c>
      <c r="B140" s="38" t="inlineStr">
        <is>
          <t>인사이트 타이머(Insight Timer)</t>
        </is>
      </c>
      <c r="C140" s="38" t="inlineStr">
        <is>
          <t>정신건강</t>
        </is>
      </c>
      <c r="D140" s="38" t="inlineStr">
        <is>
          <t>정보제공</t>
        </is>
      </c>
      <c r="E140" s="38" t="inlineStr">
        <is>
          <t>글로벌</t>
        </is>
      </c>
      <c r="F140" s="38" t="inlineStr">
        <is>
          <t>카테고리리더</t>
        </is>
      </c>
      <c r="G140" s="38" t="inlineStr">
        <is>
          <t>라이프스타일</t>
        </is>
      </c>
      <c r="H140" s="38" t="inlineStr">
        <is>
          <t>개인,강사</t>
        </is>
      </c>
      <c r="I140" s="38" t="inlineStr">
        <is>
          <t>명상·마음챙김 플랫폼</t>
        </is>
      </c>
      <c r="J140" s="38" t="inlineStr">
        <is>
          <t>명상,마음챙김,스트레스관리</t>
        </is>
      </c>
      <c r="K140" s="38" t="inlineStr">
        <is>
          <t>강사콘텐츠,커뮤니티,마음챙김프로그램,웰니스</t>
        </is>
      </c>
      <c r="L140" s="25" t="inlineStr">
        <is>
          <t>Two-sided Market(양면시장)</t>
        </is>
      </c>
      <c r="M140" s="38" t="inlineStr">
        <is>
          <t>명상·마음챙김 콘텐츠와 강사 프로그램, 커뮤니티를 제공하는 글로벌 웰니스 플랫폼</t>
        </is>
      </c>
      <c r="N140" s="39" t="inlineStr">
        <is>
          <t>2026-09-13</t>
        </is>
      </c>
      <c r="O140" s="39" t="inlineStr">
        <is>
          <t>2026-09-13</t>
        </is>
      </c>
      <c r="P140" s="26" t="n"/>
      <c r="Q140" s="26" t="n"/>
      <c r="S140" s="38" t="inlineStr">
        <is>
          <t>콘텐츠 품질과 전문성이 강사별로 달라질 수 있으며, 명상 콘텐츠가 임상 치료를 대체하지 않음</t>
        </is>
      </c>
      <c r="T140" s="38" t="inlineStr">
        <is>
          <t>무료 콘텐츠 제공; 일부 강사 강좌·프로그램 및 Member Plus 구독 유료; 국가별 가격 상이</t>
        </is>
      </c>
    </row>
    <row r="141" ht="15.75" customHeight="1" s="42">
      <c r="A141" s="29" t="inlineStr">
        <is>
          <t>CP140</t>
        </is>
      </c>
      <c r="B141" s="38" t="inlineStr">
        <is>
          <t>베터헬프(BetterHelp)</t>
        </is>
      </c>
      <c r="C141" s="38" t="inlineStr">
        <is>
          <t>정신건강</t>
        </is>
      </c>
      <c r="D141" s="38" t="inlineStr">
        <is>
          <t>매칭연결</t>
        </is>
      </c>
      <c r="E141" s="38" t="inlineStr">
        <is>
          <t>미국</t>
        </is>
      </c>
      <c r="F141" s="38" t="inlineStr">
        <is>
          <t>카테고리리더</t>
        </is>
      </c>
      <c r="G141" s="38" t="inlineStr">
        <is>
          <t>라이프스타일</t>
        </is>
      </c>
      <c r="H141" s="38" t="inlineStr">
        <is>
          <t>개인,기업임직원</t>
        </is>
      </c>
      <c r="I141" s="38" t="inlineStr">
        <is>
          <t>온라인 심리상담 플랫폼</t>
        </is>
      </c>
      <c r="J141" s="38" t="inlineStr">
        <is>
          <t>심리상담,상담사매칭,온라인치료</t>
        </is>
      </c>
      <c r="K141" s="38" t="inlineStr">
        <is>
          <t>메시지상담,영상상담,전화상담,상담사교체</t>
        </is>
      </c>
      <c r="L141" s="25" t="inlineStr">
        <is>
          <t>Two-sided Market(양면시장)</t>
        </is>
      </c>
      <c r="M141" s="38" t="inlineStr">
        <is>
          <t>온라인 상담사 매칭과 메시지·전화·영상 상담을 제공하는 글로벌 심리상담 플랫폼</t>
        </is>
      </c>
      <c r="N141" s="39" t="inlineStr">
        <is>
          <t>2026-09-13</t>
        </is>
      </c>
      <c r="O141" s="39" t="inlineStr">
        <is>
          <t>2026-09-13</t>
        </is>
      </c>
      <c r="P141" s="26" t="n"/>
      <c r="Q141" s="26" t="n"/>
      <c r="S141" s="38" t="inlineStr">
        <is>
          <t>상담사별 품질과 적합도 편차가 존재하며, 온라인 상담이 응급·중증 정신건강 치료를 대체할 수 없음</t>
        </is>
      </c>
      <c r="T141" s="38" t="inlineStr">
        <is>
          <t>주간 구독형 상담 모델; 미국 기준 주당 약 70~100달러 수준으로 상담 빈도와 프로모션에 따라 상이</t>
        </is>
      </c>
    </row>
    <row r="142" ht="15.75" customHeight="1" s="42">
      <c r="A142" s="29" t="inlineStr">
        <is>
          <t>CP141</t>
        </is>
      </c>
      <c r="B142" s="38" t="inlineStr">
        <is>
          <t>마음단단</t>
        </is>
      </c>
      <c r="C142" s="38" t="inlineStr">
        <is>
          <t>정신건강</t>
        </is>
      </c>
      <c r="D142" s="38" t="inlineStr">
        <is>
          <t>매칭연결</t>
        </is>
      </c>
      <c r="E142" s="38" t="inlineStr">
        <is>
          <t>한국</t>
        </is>
      </c>
      <c r="F142" s="38" t="inlineStr">
        <is>
          <t>일반경쟁자</t>
        </is>
      </c>
      <c r="G142" s="38" t="inlineStr">
        <is>
          <t>라이프스타일</t>
        </is>
      </c>
      <c r="H142" s="38" t="inlineStr">
        <is>
          <t>개인,기업임직원</t>
        </is>
      </c>
      <c r="I142" s="38" t="inlineStr">
        <is>
          <t>전문 심리상담·EAP 플랫폼</t>
        </is>
      </c>
      <c r="J142" s="38" t="inlineStr">
        <is>
          <t>심리상담,AI상담,EAP</t>
        </is>
      </c>
      <c r="K142" s="38" t="inlineStr">
        <is>
          <t>상품형상담,구독형상담,기업관리,상담사매칭</t>
        </is>
      </c>
      <c r="L142" s="25" t="inlineStr">
        <is>
          <t>Two-sided Market(양면시장)</t>
        </is>
      </c>
      <c r="M142" s="38" t="inlineStr">
        <is>
          <t>AI 상담과 전문 상담을 연결하고 개인 및 기업 EAP를 지원하는 하이브리드 멘탈케어 플랫폼</t>
        </is>
      </c>
      <c r="N142" s="39" t="inlineStr">
        <is>
          <t>2026-09-13</t>
        </is>
      </c>
      <c r="O142" s="39" t="inlineStr">
        <is>
          <t>2026-09-13</t>
        </is>
      </c>
      <c r="P142" s="26" t="n"/>
      <c r="Q142" s="26" t="n"/>
      <c r="S142" s="38" t="inlineStr">
        <is>
          <t>AI 상담과 전문 상담의 품질 차이가 존재하며, 기업 도입 여부와 상담사 공급에 따라 이용 가능 범위가 달라질 수 있음</t>
        </is>
      </c>
      <c r="T142" s="38" t="inlineStr">
        <is>
          <t>상품형 상담·구독형 상담·기업 EAP 계약 혼합; 개인 및 기업별 가격 상이</t>
        </is>
      </c>
    </row>
    <row r="143" ht="15.75" customHeight="1" s="42">
      <c r="A143" s="29" t="inlineStr">
        <is>
          <t>CP142</t>
        </is>
      </c>
      <c r="B143" s="38" t="inlineStr">
        <is>
          <t>건강수첩</t>
        </is>
      </c>
      <c r="C143" s="38" t="inlineStr">
        <is>
          <t>만성질환</t>
        </is>
      </c>
      <c r="D143" s="38" t="inlineStr">
        <is>
          <t>데이터기록관리</t>
        </is>
      </c>
      <c r="E143" s="38" t="inlineStr">
        <is>
          <t>한국</t>
        </is>
      </c>
      <c r="F143" s="38" t="inlineStr">
        <is>
          <t>일반경쟁자</t>
        </is>
      </c>
      <c r="G143" s="38" t="inlineStr">
        <is>
          <t>라이프스타일</t>
        </is>
      </c>
      <c r="H143" s="38" t="inlineStr">
        <is>
          <t>개인,만성질환자</t>
        </is>
      </c>
      <c r="I143" s="38" t="inlineStr">
        <is>
          <t>혈압·당뇨 건강관리 앱</t>
        </is>
      </c>
      <c r="J143" s="38" t="inlineStr">
        <is>
          <t>혈압관리,혈당관리,건강기록</t>
        </is>
      </c>
      <c r="K143" s="38" t="inlineStr">
        <is>
          <t>혈압기록,혈당기록,검진기록,생활습관</t>
        </is>
      </c>
      <c r="L143" s="25" t="inlineStr">
        <is>
          <t>Freemium(프리미엄)</t>
        </is>
      </c>
      <c r="M143" s="38" t="inlineStr">
        <is>
          <t>혈압·혈당 등 만성질환 관련 건강 데이터를 기록하고 개인 건강관리를 지원하는 앱</t>
        </is>
      </c>
      <c r="N143" s="39" t="inlineStr">
        <is>
          <t>2026-09-13</t>
        </is>
      </c>
      <c r="O143" s="39" t="inlineStr">
        <is>
          <t>2026-09-13</t>
        </is>
      </c>
      <c r="P143" s="26" t="n"/>
      <c r="Q143" s="26" t="n"/>
      <c r="S143" s="38" t="inlineStr">
        <is>
          <t>수기 입력 의존도가 높을 수 있으며, 기록 관리만으로 질환 치료와 의료진의 임상적 판단을 대체하기 어려움</t>
        </is>
      </c>
      <c r="T143" s="38" t="inlineStr">
        <is>
          <t>기본 앱 무료 또는 무료 중심; 유료 기능 및 최신 가격은 앱스토어 확인 필요</t>
        </is>
      </c>
    </row>
    <row r="144" ht="15.75" customHeight="1" s="42">
      <c r="A144" s="29" t="inlineStr">
        <is>
          <t>CP143</t>
        </is>
      </c>
      <c r="B144" s="38" t="inlineStr">
        <is>
          <t>채움건강</t>
        </is>
      </c>
      <c r="C144" s="38" t="inlineStr">
        <is>
          <t>만성질환</t>
        </is>
      </c>
      <c r="D144" s="38" t="inlineStr">
        <is>
          <t>개입치료</t>
        </is>
      </c>
      <c r="E144" s="38" t="inlineStr">
        <is>
          <t>한국</t>
        </is>
      </c>
      <c r="F144" s="38" t="inlineStr">
        <is>
          <t>일반경쟁자</t>
        </is>
      </c>
      <c r="G144" s="38" t="inlineStr">
        <is>
          <t>생체지표</t>
        </is>
      </c>
      <c r="H144" s="38" t="inlineStr">
        <is>
          <t>개인,만성질환위험군,보건소</t>
        </is>
      </c>
      <c r="I144" s="38" t="inlineStr">
        <is>
          <t>공공 모바일 만성질환 관리 서비스</t>
        </is>
      </c>
      <c r="J144" s="38" t="inlineStr">
        <is>
          <t>혈압관리,혈당관리,생활습관</t>
        </is>
      </c>
      <c r="K144" s="38" t="inlineStr">
        <is>
          <t>식단기록,운동기록,전문가피드백,건강미션</t>
        </is>
      </c>
      <c r="L144" s="25" t="inlineStr">
        <is>
          <t>Public Service(공공서비스)</t>
        </is>
      </c>
      <c r="M144" s="38" t="inlineStr">
        <is>
          <t>보건소와 연계해 혈압·혈당·체중·운동·식단을 관리하고 영양사·운동전문가 피드백을 제공하는 서비스</t>
        </is>
      </c>
      <c r="N144" s="39" t="inlineStr">
        <is>
          <t>2026-09-13</t>
        </is>
      </c>
      <c r="O144" s="39" t="inlineStr">
        <is>
          <t>2026-09-13</t>
        </is>
      </c>
      <c r="P144" s="26" t="n"/>
      <c r="Q144" s="26" t="n"/>
      <c r="S144" s="38" t="inlineStr">
        <is>
          <t>참여 보건소와 사업 대상에 따라 이용 가능 여부가 달라지며, 운영 기간과 지역이 제한될 수 있음</t>
        </is>
      </c>
      <c r="T144" s="38" t="inlineStr">
        <is>
          <t>보건소·공공사업 참여자 대상 무료 또는 지원형; 지역·사업별 이용 조건 상이</t>
        </is>
      </c>
    </row>
    <row r="145" ht="15.75" customHeight="1" s="42">
      <c r="A145" s="29" t="inlineStr">
        <is>
          <t>CP144</t>
        </is>
      </c>
      <c r="B145" s="38" t="inlineStr">
        <is>
          <t>모바일 헬스케어</t>
        </is>
      </c>
      <c r="C145" s="38" t="inlineStr">
        <is>
          <t>만성질환</t>
        </is>
      </c>
      <c r="D145" s="38" t="inlineStr">
        <is>
          <t>개입치료</t>
        </is>
      </c>
      <c r="E145" s="38" t="inlineStr">
        <is>
          <t>한국</t>
        </is>
      </c>
      <c r="F145" s="38" t="inlineStr">
        <is>
          <t>플랫폼</t>
        </is>
      </c>
      <c r="G145" s="38" t="inlineStr">
        <is>
          <t>생체지표</t>
        </is>
      </c>
      <c r="H145" s="38" t="inlineStr">
        <is>
          <t>개인,만성질환위험군,보건소</t>
        </is>
      </c>
      <c r="I145" s="38" t="inlineStr">
        <is>
          <t>보건소 모바일 건강관리 서비스</t>
        </is>
      </c>
      <c r="J145" s="38" t="inlineStr">
        <is>
          <t>만성질환예방,생활습관관리,건강상담</t>
        </is>
      </c>
      <c r="K145" s="38" t="inlineStr">
        <is>
          <t>혈압,혈당,복부비만,운동,영양,건강미션</t>
        </is>
      </c>
      <c r="L145" s="25" t="inlineStr">
        <is>
          <t>Public Service(공공서비스)</t>
        </is>
      </c>
      <c r="M145" s="38" t="inlineStr">
        <is>
          <t>보건소 전담팀과 앱을 통해 운동·식사·생활습관을 관리하고 만성질환 위험요인을 예방하는 공공 서비스</t>
        </is>
      </c>
      <c r="N145" s="39" t="inlineStr">
        <is>
          <t>2026-09-13</t>
        </is>
      </c>
      <c r="O145" s="39" t="inlineStr">
        <is>
          <t>2026-09-13</t>
        </is>
      </c>
      <c r="P145" s="26" t="n"/>
      <c r="Q145" s="26" t="n"/>
      <c r="S145" s="38" t="inlineStr">
        <is>
          <t>참여 보건소와 선정 기준이 필요하며, 집중적인 질환 치료보다 예방·생활습관 개선에 초점이 맞춰져 있음</t>
        </is>
      </c>
      <c r="T145" s="38" t="inlineStr">
        <is>
          <t>보건소 사업 참여자 대상 무료 또는 공공 지원형; 지역별 대상·운영기간 상이</t>
        </is>
      </c>
    </row>
    <row r="146" ht="15.75" customHeight="1" s="42">
      <c r="A146" s="29" t="inlineStr">
        <is>
          <t>CP145</t>
        </is>
      </c>
      <c r="B146" s="38" t="inlineStr">
        <is>
          <t>모바일 헬스케어 건강생활지원센터</t>
        </is>
      </c>
      <c r="C146" s="38" t="inlineStr">
        <is>
          <t>만성질환</t>
        </is>
      </c>
      <c r="D146" s="38" t="inlineStr">
        <is>
          <t>개입치료</t>
        </is>
      </c>
      <c r="E146" s="38" t="inlineStr">
        <is>
          <t>한국</t>
        </is>
      </c>
      <c r="F146" s="38" t="inlineStr">
        <is>
          <t>일반경쟁자</t>
        </is>
      </c>
      <c r="G146" s="38" t="inlineStr">
        <is>
          <t>생체지표</t>
        </is>
      </c>
      <c r="H146" s="38" t="inlineStr">
        <is>
          <t>개인,만성질환위험군</t>
        </is>
      </c>
      <c r="I146" s="38" t="inlineStr">
        <is>
          <t>지역사회 건강관리 앱</t>
        </is>
      </c>
      <c r="J146" s="38" t="inlineStr">
        <is>
          <t>건강측정,생활습관,만성질환예방</t>
        </is>
      </c>
      <c r="K146" s="38" t="inlineStr">
        <is>
          <t>보건소연계,건강상담,운동·영양관리,건강미션</t>
        </is>
      </c>
      <c r="L146" s="25" t="inlineStr">
        <is>
          <t>Public Service(공공서비스)</t>
        </is>
      </c>
      <c r="M146" s="38" t="inlineStr">
        <is>
          <t>건강생활지원센터와 연계해 혈압·혈당·운동·영양 등 생활습관 개선을 지원하는 지역사회형 서비스</t>
        </is>
      </c>
      <c r="N146" s="39" t="inlineStr">
        <is>
          <t>2026-09-13</t>
        </is>
      </c>
      <c r="O146" s="39" t="inlineStr">
        <is>
          <t>2026-09-13</t>
        </is>
      </c>
      <c r="P146" s="26" t="n"/>
      <c r="Q146" s="26" t="n"/>
      <c r="S146" s="38" t="inlineStr">
        <is>
          <t>지자체와 보건소 운영 역량에 따라 서비스 수준이 달라지고 지역 외 이용자의 접근성이 제한될 수 있음</t>
        </is>
      </c>
      <c r="T146" s="38" t="inlineStr">
        <is>
          <t>지자체·보건소 사업 기반 무료 또는 지원형; 지역별 이용 조건 상이</t>
        </is>
      </c>
    </row>
    <row r="147" ht="15.75" customHeight="1" s="42">
      <c r="A147" s="29" t="inlineStr">
        <is>
          <t>CP146</t>
        </is>
      </c>
      <c r="B147" s="38" t="inlineStr">
        <is>
          <t>마이피코링</t>
        </is>
      </c>
      <c r="C147" s="38" t="inlineStr">
        <is>
          <t>만성질환</t>
        </is>
      </c>
      <c r="D147" s="38" t="inlineStr">
        <is>
          <t>데이터기록관리</t>
        </is>
      </c>
      <c r="E147" s="38" t="inlineStr">
        <is>
          <t>한국</t>
        </is>
      </c>
      <c r="F147" s="38" t="inlineStr">
        <is>
          <t>일반경쟁자</t>
        </is>
      </c>
      <c r="G147" s="38" t="inlineStr">
        <is>
          <t>생체지표</t>
        </is>
      </c>
      <c r="H147" s="38" t="inlineStr">
        <is>
          <t>개인,혈당관리사용자</t>
        </is>
      </c>
      <c r="I147" s="38" t="inlineStr">
        <is>
          <t>혈당 관리 앱</t>
        </is>
      </c>
      <c r="J147" s="38" t="inlineStr">
        <is>
          <t>혈당관리,혈당기록,생활습관</t>
        </is>
      </c>
      <c r="K147" s="38" t="inlineStr">
        <is>
          <t>혈당리포트,기기연동,자가관리,건강데이터</t>
        </is>
      </c>
      <c r="L147" s="25" t="inlineStr">
        <is>
          <t>Freemium(프리미엄)</t>
        </is>
      </c>
      <c r="M147" s="38" t="inlineStr">
        <is>
          <t>혈당 건강 데이터를 확인하고 일상적인 혈당 관리를 지원하는 스마트 혈당 관리 앱</t>
        </is>
      </c>
      <c r="N147" s="39" t="inlineStr">
        <is>
          <t>2026-09-13</t>
        </is>
      </c>
      <c r="O147" s="39" t="inlineStr">
        <is>
          <t>2026-09-13</t>
        </is>
      </c>
      <c r="P147" s="26" t="n"/>
      <c r="Q147" s="26" t="n"/>
      <c r="S147" s="38" t="inlineStr">
        <is>
          <t>웰니스 서비스로 의료기기가 아니므로 진단·치료를 대신할 수 없으며, 연동 기기와 데이터 품질에 의존함</t>
        </is>
      </c>
      <c r="T147" s="38" t="inlineStr">
        <is>
          <t>기본 앱 이용 가능 여부와 기기·서비스 패키지 가격은 판매처 및 연동 제품별 상이; 공개 가격 추가 확인 필요</t>
        </is>
      </c>
    </row>
    <row r="148" ht="15.75" customHeight="1" s="42">
      <c r="A148" s="29" t="inlineStr">
        <is>
          <t>CP147</t>
        </is>
      </c>
      <c r="B148" s="38" t="inlineStr">
        <is>
          <t>엠디케어</t>
        </is>
      </c>
      <c r="C148" s="38" t="inlineStr">
        <is>
          <t>만성질환</t>
        </is>
      </c>
      <c r="D148" s="38" t="inlineStr">
        <is>
          <t>개입치료</t>
        </is>
      </c>
      <c r="E148" s="38" t="inlineStr">
        <is>
          <t>한국</t>
        </is>
      </c>
      <c r="F148" s="38" t="inlineStr">
        <is>
          <t>일반경쟁자</t>
        </is>
      </c>
      <c r="G148" s="38" t="inlineStr">
        <is>
          <t>생체지표</t>
        </is>
      </c>
      <c r="H148" s="38" t="inlineStr">
        <is>
          <t>개인,만성질환자,가족</t>
        </is>
      </c>
      <c r="I148" s="38" t="inlineStr">
        <is>
          <t>만성질환 통합관리 앱</t>
        </is>
      </c>
      <c r="J148" s="38" t="inlineStr">
        <is>
          <t>혈압관리,혈당관리,비만관리</t>
        </is>
      </c>
      <c r="K148" s="38" t="inlineStr">
        <is>
          <t>기기연동,의료진상담,가족관리,건강리포트</t>
        </is>
      </c>
      <c r="L148" s="25" t="inlineStr">
        <is>
          <t>Subscription(구독형)</t>
        </is>
      </c>
      <c r="M148" s="38" t="inlineStr">
        <is>
          <t>혈압·혈당·비만 데이터를 기기와 연동하고 전담 의료진 상담과 가족 건강관리를 지원하는 앱</t>
        </is>
      </c>
      <c r="N148" s="39" t="inlineStr">
        <is>
          <t>2026-09-13</t>
        </is>
      </c>
      <c r="O148" s="39" t="inlineStr">
        <is>
          <t>2026-09-13</t>
        </is>
      </c>
      <c r="P148" s="26" t="n"/>
      <c r="Q148" s="26" t="n"/>
      <c r="S148" s="38" t="inlineStr">
        <is>
          <t>기기 연동과 전담 의료진 운영에 의존하며, 상담 범위와 관리 품질이 계약·기관에 따라 달라질 수 있음</t>
        </is>
      </c>
      <c r="T148" s="38" t="inlineStr">
        <is>
          <t>개인 구독료와 기관·기업 계약료 공개 자료 미확인; 기기·상담 포함 여부에 따라 견적형 가능</t>
        </is>
      </c>
    </row>
    <row r="149" ht="15.75" customHeight="1" s="42">
      <c r="A149" s="49" t="n"/>
      <c r="B149" s="44" t="n"/>
      <c r="C149" s="44" t="n"/>
      <c r="D149" s="44" t="n"/>
      <c r="E149" s="44" t="n"/>
      <c r="F149" s="44" t="n"/>
      <c r="G149" s="44" t="n"/>
      <c r="H149" s="44" t="n"/>
      <c r="I149" s="44" t="n"/>
      <c r="J149" s="44" t="n"/>
      <c r="K149" s="44" t="n"/>
      <c r="L149" s="46" t="n"/>
      <c r="M149" s="44" t="n"/>
      <c r="N149" s="50" t="n"/>
      <c r="O149" s="50" t="n"/>
      <c r="P149" s="51" t="n"/>
      <c r="Q149" s="51" t="n"/>
      <c r="R149" s="45" t="n"/>
      <c r="S149" s="44" t="n"/>
      <c r="T149" s="44" t="n"/>
    </row>
    <row r="150" ht="15.75" customHeight="1" s="42">
      <c r="A150" s="29" t="inlineStr">
        <is>
          <t>CP149</t>
        </is>
      </c>
      <c r="B150" s="38" t="inlineStr">
        <is>
          <t>눔(Noom)</t>
        </is>
      </c>
      <c r="C150" s="38" t="inlineStr">
        <is>
          <t>만성질환</t>
        </is>
      </c>
      <c r="D150" s="38" t="inlineStr">
        <is>
          <t>개입치료</t>
        </is>
      </c>
      <c r="E150" s="38" t="inlineStr">
        <is>
          <t>미국</t>
        </is>
      </c>
      <c r="F150" s="38" t="inlineStr">
        <is>
          <t>카테고리리더</t>
        </is>
      </c>
      <c r="G150" s="38" t="inlineStr">
        <is>
          <t>라이프스타일</t>
        </is>
      </c>
      <c r="H150" s="38" t="inlineStr">
        <is>
          <t>개인,체중관리사용자,만성질환위험군</t>
        </is>
      </c>
      <c r="I150" s="38" t="inlineStr">
        <is>
          <t>행동변화 기반 체중·건강관리 앱</t>
        </is>
      </c>
      <c r="J150" s="38" t="inlineStr">
        <is>
          <t>체중관리,영양관리,행동변화</t>
        </is>
      </c>
      <c r="K150" s="38" t="inlineStr">
        <is>
          <t>식단기록,코칭,운동,습관형성,당뇨예방</t>
        </is>
      </c>
      <c r="L150" s="25" t="inlineStr">
        <is>
          <t>Subscription(구독형)</t>
        </is>
      </c>
      <c r="M150" s="38" t="inlineStr">
        <is>
          <t>심리학 기반 행동변화 프로그램으로 체중·식단·운동과 생활습관 개선을 지원하는 앱</t>
        </is>
      </c>
      <c r="N150" s="39" t="inlineStr">
        <is>
          <t>2026-09-13</t>
        </is>
      </c>
      <c r="O150" s="39" t="inlineStr">
        <is>
          <t>2026-09-13</t>
        </is>
      </c>
      <c r="P150" s="26" t="n"/>
      <c r="Q150" s="26" t="n"/>
      <c r="S150" s="38" t="inlineStr">
        <is>
          <t>구독료가 누적될 수 있고 체중 감량과 만성질환 관리 결과가 사용자의 지속적인 참여와 자기기록에 크게 의존함</t>
        </is>
      </c>
      <c r="T150" s="38" t="inlineStr">
        <is>
          <t>구독형 프로그램; 월·연 구독과 코칭·질환관리 프로그램별 가격 상이</t>
        </is>
      </c>
    </row>
    <row r="151" ht="15.75" customHeight="1" s="42">
      <c r="A151" s="29" t="inlineStr">
        <is>
          <t>CP150</t>
        </is>
      </c>
      <c r="B151" s="38" t="inlineStr">
        <is>
          <t>오마다 헬스(Omada Health)</t>
        </is>
      </c>
      <c r="C151" s="38" t="inlineStr">
        <is>
          <t>만성질환</t>
        </is>
      </c>
      <c r="D151" s="38" t="inlineStr">
        <is>
          <t>개입치료</t>
        </is>
      </c>
      <c r="E151" s="38" t="inlineStr">
        <is>
          <t>미국</t>
        </is>
      </c>
      <c r="F151" s="38" t="inlineStr">
        <is>
          <t>카테고리리더</t>
        </is>
      </c>
      <c r="G151" s="38" t="inlineStr">
        <is>
          <t>생체지표</t>
        </is>
      </c>
      <c r="H151" s="38" t="inlineStr">
        <is>
          <t>개인,보험가입자,기업임직원</t>
        </is>
      </c>
      <c r="I151" s="38" t="inlineStr">
        <is>
          <t>디지털 만성질환 관리 플랫폼</t>
        </is>
      </c>
      <c r="J151" s="38" t="inlineStr">
        <is>
          <t>당뇨관리,고혈압관리,체중관리</t>
        </is>
      </c>
      <c r="K151" s="38" t="inlineStr">
        <is>
          <t>코칭,기기배송,건강데이터,보험연계,생활습관</t>
        </is>
      </c>
      <c r="L151" s="25" t="inlineStr">
        <is>
          <t>Subscription(구독형)</t>
        </is>
      </c>
      <c r="M151" s="38" t="inlineStr">
        <is>
          <t>당뇨·고혈압·체중관리 프로그램과 연결형 기기 및 전문 코칭을 결합한 디지털 만성질환 관리 플랫폼</t>
        </is>
      </c>
      <c r="N151" s="39" t="inlineStr">
        <is>
          <t>2026-09-13</t>
        </is>
      </c>
      <c r="O151" s="39" t="inlineStr">
        <is>
          <t>2026-09-13</t>
        </is>
      </c>
      <c r="P151" s="26" t="n"/>
      <c r="Q151" s="26" t="n"/>
      <c r="S151" s="38" t="inlineStr">
        <is>
          <t>보험·고용주 계약 의존도가 높아 개인이 직접 이용하기 어렵고, 보험 적용 여부에 따라 접근성과 비용이 크게 달라짐</t>
        </is>
      </c>
      <c r="T151" s="38" t="inlineStr">
        <is>
          <t>보험사·고용주 계약형 중심; 개인 이용료와 프로그램별 가격은 보험·계약 조건에 따라 상이</t>
        </is>
      </c>
    </row>
    <row r="152" ht="15.75" customHeight="1" s="42">
      <c r="A152" s="29" t="inlineStr">
        <is>
          <t>CP151</t>
        </is>
      </c>
      <c r="B152" s="38" t="inlineStr">
        <is>
          <t>원드롭(One Drop)</t>
        </is>
      </c>
      <c r="C152" s="38" t="inlineStr">
        <is>
          <t>만성질환</t>
        </is>
      </c>
      <c r="D152" s="38" t="inlineStr">
        <is>
          <t>데이터기록관리</t>
        </is>
      </c>
      <c r="E152" s="38" t="inlineStr">
        <is>
          <t>미국</t>
        </is>
      </c>
      <c r="F152" s="38" t="inlineStr">
        <is>
          <t>일반경쟁자</t>
        </is>
      </c>
      <c r="G152" s="38" t="inlineStr">
        <is>
          <t>생체지표</t>
        </is>
      </c>
      <c r="H152" s="38" t="inlineStr">
        <is>
          <t>개인,당뇨환자</t>
        </is>
      </c>
      <c r="I152" s="38" t="inlineStr">
        <is>
          <t>당뇨·혈당 관리 앱</t>
        </is>
      </c>
      <c r="J152" s="38" t="inlineStr">
        <is>
          <t>혈당관리,당뇨관리,생활습관</t>
        </is>
      </c>
      <c r="K152" s="38" t="inlineStr">
        <is>
          <t>혈당기록,식단,운동,코칭,기기연동</t>
        </is>
      </c>
      <c r="L152" s="25" t="inlineStr">
        <is>
          <t>Freemium(프리미엄)</t>
        </is>
      </c>
      <c r="M152" s="38" t="inlineStr">
        <is>
          <t>혈당·식단·운동·약물 데이터를 기록하고 당뇨 생활습관 관리를 지원하는 앱</t>
        </is>
      </c>
      <c r="N152" s="39" t="inlineStr">
        <is>
          <t>2026-09-13</t>
        </is>
      </c>
      <c r="O152" s="39" t="inlineStr">
        <is>
          <t>2026-09-13</t>
        </is>
      </c>
      <c r="P152" s="26" t="n"/>
      <c r="Q152" s="26" t="n"/>
      <c r="S152" s="38" t="inlineStr">
        <is>
          <t>혈당기록과 예측 기능이 의료진의 진료를 대체하지 않으며, 일부 기기 연동과 코칭 기능은 유료일 수 있음</t>
        </is>
      </c>
      <c r="T152" s="38" t="inlineStr">
        <is>
          <t>기본 기록 기능 무료; 프리미엄 코칭·기기 연동·당뇨관리 프로그램은 구독 또는 제휴형</t>
        </is>
      </c>
    </row>
    <row r="153" ht="15.75" customHeight="1" s="42">
      <c r="A153" s="29" t="n"/>
      <c r="C153" s="38" t="n"/>
      <c r="D153" s="38" t="n"/>
      <c r="F153" s="38" t="n"/>
      <c r="G153" s="38" t="n"/>
      <c r="L153" s="25" t="n"/>
    </row>
    <row r="154" ht="15.75" customHeight="1" s="42">
      <c r="A154" s="29" t="n"/>
      <c r="C154" s="38" t="n"/>
      <c r="D154" s="38" t="n"/>
      <c r="F154" s="38" t="n"/>
      <c r="G154" s="38" t="n"/>
      <c r="L154" s="25" t="n"/>
    </row>
    <row r="155" ht="15.75" customHeight="1" s="42">
      <c r="C155" s="38" t="n"/>
      <c r="D155" s="38" t="n"/>
      <c r="F155" s="38" t="n"/>
      <c r="G155" s="38" t="n"/>
      <c r="L155" s="25" t="n"/>
    </row>
    <row r="156" ht="15.75" customHeight="1" s="42">
      <c r="C156" s="38" t="n"/>
      <c r="D156" s="38" t="n"/>
      <c r="F156" s="38" t="n"/>
      <c r="G156" s="38" t="n"/>
      <c r="L156" s="25" t="n"/>
    </row>
    <row r="157" ht="15.75" customHeight="1" s="42">
      <c r="C157" s="38" t="n"/>
      <c r="D157" s="38" t="n"/>
      <c r="F157" s="38" t="n"/>
      <c r="G157" s="38" t="n"/>
      <c r="L157" s="25" t="n"/>
    </row>
    <row r="158" ht="15.75" customHeight="1" s="42">
      <c r="C158" s="38" t="n"/>
      <c r="D158" s="38" t="n"/>
      <c r="F158" s="38" t="n"/>
      <c r="G158" s="38" t="n"/>
      <c r="L158" s="25" t="n"/>
    </row>
    <row r="159" ht="15.75" customHeight="1" s="42">
      <c r="C159" s="38" t="n"/>
      <c r="D159" s="38" t="n"/>
      <c r="F159" s="38" t="n"/>
      <c r="G159" s="38" t="n"/>
      <c r="L159" s="25" t="n"/>
    </row>
    <row r="160" ht="15.75" customHeight="1" s="42">
      <c r="C160" s="38" t="n"/>
      <c r="D160" s="38" t="n"/>
      <c r="F160" s="38" t="n"/>
      <c r="G160" s="38" t="n"/>
      <c r="L160" s="25" t="n"/>
    </row>
    <row r="161" ht="15.75" customHeight="1" s="42">
      <c r="D161" s="38" t="n"/>
      <c r="F161" s="38" t="n"/>
      <c r="G161" s="38" t="n"/>
      <c r="L161" s="25" t="n"/>
    </row>
    <row r="162" ht="15.75" customHeight="1" s="42">
      <c r="D162" s="38" t="n"/>
      <c r="F162" s="38" t="n"/>
      <c r="G162" s="38" t="n"/>
      <c r="L162" s="25" t="n"/>
    </row>
    <row r="163" ht="15.75" customHeight="1" s="42">
      <c r="D163" s="38" t="n"/>
      <c r="F163" s="38" t="n"/>
      <c r="G163" s="38" t="n"/>
      <c r="L163" s="25" t="n"/>
    </row>
    <row r="164" ht="15.75" customHeight="1" s="42">
      <c r="D164" s="38" t="n"/>
      <c r="F164" s="38" t="n"/>
      <c r="G164" s="38" t="n"/>
      <c r="L164" s="25" t="n"/>
    </row>
    <row r="165" ht="15.75" customHeight="1" s="42">
      <c r="D165" s="38" t="n"/>
      <c r="F165" s="38" t="n"/>
      <c r="G165" s="38" t="n"/>
      <c r="L165" s="25" t="n"/>
    </row>
    <row r="166" ht="15.75" customHeight="1" s="42">
      <c r="D166" s="38" t="n"/>
      <c r="F166" s="38" t="n"/>
      <c r="G166" s="38" t="n"/>
      <c r="L166" s="25" t="n"/>
    </row>
    <row r="167" ht="15.75" customHeight="1" s="42">
      <c r="D167" s="38" t="n"/>
      <c r="F167" s="38" t="n"/>
      <c r="G167" s="38" t="n"/>
      <c r="L167" s="25" t="n"/>
    </row>
    <row r="168" ht="15.75" customHeight="1" s="42">
      <c r="D168" s="38" t="n"/>
      <c r="F168" s="38" t="n"/>
      <c r="G168" s="38" t="n"/>
      <c r="L168" s="25" t="n"/>
    </row>
    <row r="169" ht="15.75" customHeight="1" s="42">
      <c r="D169" s="38" t="n"/>
      <c r="F169" s="38" t="n"/>
      <c r="G169" s="38" t="n"/>
      <c r="L169" s="25" t="n"/>
    </row>
    <row r="170" ht="15.75" customHeight="1" s="42">
      <c r="D170" s="38" t="n"/>
      <c r="F170" s="38" t="n"/>
      <c r="G170" s="38" t="n"/>
      <c r="L170" s="25" t="n"/>
    </row>
    <row r="171" ht="15.75" customHeight="1" s="42">
      <c r="D171" s="38" t="n"/>
      <c r="F171" s="38" t="n"/>
      <c r="G171" s="38" t="n"/>
      <c r="L171" s="25" t="n"/>
    </row>
    <row r="172" ht="15.75" customHeight="1" s="42">
      <c r="D172" s="38" t="n"/>
      <c r="F172" s="38" t="n"/>
      <c r="G172" s="38" t="n"/>
      <c r="L172" s="25" t="n"/>
    </row>
    <row r="173" ht="15.75" customHeight="1" s="42">
      <c r="D173" s="38" t="n"/>
      <c r="F173" s="38" t="n"/>
      <c r="G173" s="38" t="n"/>
      <c r="L173" s="25" t="n"/>
    </row>
    <row r="174" ht="15.75" customHeight="1" s="42">
      <c r="D174" s="38" t="n"/>
      <c r="F174" s="38" t="n"/>
      <c r="G174" s="38" t="n"/>
      <c r="L174" s="25" t="n"/>
    </row>
    <row r="175" ht="15.75" customHeight="1" s="42">
      <c r="D175" s="38" t="n"/>
      <c r="F175" s="38" t="n"/>
      <c r="G175" s="38" t="n"/>
      <c r="L175" s="25" t="n"/>
    </row>
    <row r="176" ht="15.75" customHeight="1" s="42">
      <c r="D176" s="38" t="n"/>
      <c r="F176" s="38" t="n"/>
      <c r="G176" s="38" t="n"/>
      <c r="L176" s="25" t="n"/>
    </row>
    <row r="177" ht="15.75" customHeight="1" s="42">
      <c r="D177" s="38" t="n"/>
      <c r="F177" s="38" t="n"/>
      <c r="G177" s="38" t="n"/>
      <c r="L177" s="25" t="n"/>
    </row>
    <row r="178" ht="15.75" customHeight="1" s="42">
      <c r="D178" s="38" t="n"/>
      <c r="F178" s="38" t="n"/>
      <c r="G178" s="38" t="n"/>
      <c r="L178" s="25" t="n"/>
    </row>
    <row r="179" ht="15.75" customHeight="1" s="42">
      <c r="D179" s="38" t="n"/>
      <c r="F179" s="38" t="n"/>
      <c r="G179" s="38" t="n"/>
      <c r="L179" s="25" t="n"/>
    </row>
    <row r="180" ht="15.75" customHeight="1" s="42">
      <c r="D180" s="38" t="n"/>
      <c r="F180" s="38" t="n"/>
      <c r="G180" s="38" t="n"/>
      <c r="L180" s="25" t="n"/>
    </row>
    <row r="181" ht="15.75" customHeight="1" s="42">
      <c r="D181" s="38" t="n"/>
      <c r="F181" s="38" t="n"/>
      <c r="G181" s="38" t="n"/>
      <c r="L181" s="25" t="n"/>
    </row>
    <row r="182" ht="15.75" customHeight="1" s="42">
      <c r="D182" s="38" t="n"/>
      <c r="F182" s="38" t="n"/>
      <c r="G182" s="38" t="n"/>
      <c r="L182" s="25" t="n"/>
    </row>
    <row r="183" ht="15.75" customHeight="1" s="42">
      <c r="D183" s="38" t="n"/>
      <c r="F183" s="38" t="n"/>
      <c r="G183" s="38" t="n"/>
      <c r="L183" s="25" t="n"/>
    </row>
    <row r="184" ht="15.75" customHeight="1" s="42">
      <c r="D184" s="38" t="n"/>
      <c r="F184" s="38" t="n"/>
      <c r="G184" s="38" t="n"/>
      <c r="L184" s="25" t="n"/>
    </row>
    <row r="185" ht="15.75" customHeight="1" s="42">
      <c r="D185" s="38" t="n"/>
      <c r="F185" s="38" t="n"/>
      <c r="G185" s="38" t="n"/>
      <c r="L185" s="25" t="n"/>
    </row>
    <row r="186" ht="15.75" customHeight="1" s="42">
      <c r="D186" s="38" t="n"/>
      <c r="F186" s="38" t="n"/>
      <c r="G186" s="38" t="n"/>
      <c r="L186" s="25" t="n"/>
    </row>
    <row r="187" ht="15.75" customHeight="1" s="42">
      <c r="D187" s="38" t="n"/>
      <c r="F187" s="38" t="n"/>
      <c r="G187" s="38" t="n"/>
      <c r="L187" s="25" t="n"/>
    </row>
    <row r="188" ht="15.75" customHeight="1" s="42">
      <c r="D188" s="38" t="n"/>
      <c r="F188" s="38" t="n"/>
      <c r="G188" s="38" t="n"/>
      <c r="L188" s="25" t="n"/>
    </row>
    <row r="189" ht="15.75" customHeight="1" s="42">
      <c r="D189" s="38" t="n"/>
      <c r="F189" s="38" t="n"/>
      <c r="G189" s="38" t="n"/>
      <c r="L189" s="25" t="n"/>
    </row>
    <row r="190" ht="15.75" customHeight="1" s="42">
      <c r="D190" s="38" t="n"/>
      <c r="F190" s="38" t="n"/>
      <c r="G190" s="38" t="n"/>
      <c r="L190" s="25" t="n"/>
    </row>
    <row r="191" ht="15.75" customHeight="1" s="42">
      <c r="D191" s="38" t="n"/>
      <c r="F191" s="38" t="n"/>
      <c r="G191" s="38" t="n"/>
      <c r="L191" s="25" t="n"/>
    </row>
    <row r="192" ht="15.75" customHeight="1" s="42">
      <c r="D192" s="38" t="n"/>
      <c r="F192" s="38" t="n"/>
      <c r="G192" s="38" t="n"/>
      <c r="L192" s="25" t="n"/>
    </row>
    <row r="193" ht="15.75" customHeight="1" s="42">
      <c r="D193" s="38" t="n"/>
      <c r="F193" s="38" t="n"/>
      <c r="G193" s="38" t="n"/>
      <c r="L193" s="25" t="n"/>
    </row>
    <row r="194" ht="15.75" customHeight="1" s="42">
      <c r="D194" s="38" t="n"/>
      <c r="F194" s="38" t="n"/>
      <c r="G194" s="38" t="n"/>
      <c r="L194" s="25" t="n"/>
    </row>
    <row r="195" ht="15.75" customHeight="1" s="42">
      <c r="D195" s="38" t="n"/>
      <c r="F195" s="38" t="n"/>
      <c r="G195" s="38" t="n"/>
      <c r="L195" s="25" t="n"/>
    </row>
    <row r="196" ht="15.75" customHeight="1" s="42">
      <c r="D196" s="38" t="n"/>
      <c r="F196" s="38" t="n"/>
      <c r="G196" s="38" t="n"/>
      <c r="L196" s="25" t="n"/>
    </row>
    <row r="197" ht="15.75" customHeight="1" s="42">
      <c r="D197" s="38" t="n"/>
      <c r="F197" s="38" t="n"/>
      <c r="G197" s="38" t="n"/>
      <c r="L197" s="25" t="n"/>
    </row>
    <row r="198" ht="15.75" customHeight="1" s="42">
      <c r="D198" s="38" t="n"/>
      <c r="F198" s="38" t="n"/>
      <c r="G198" s="38" t="n"/>
      <c r="L198" s="25" t="n"/>
    </row>
    <row r="199" ht="15.75" customHeight="1" s="42">
      <c r="D199" s="38" t="n"/>
      <c r="F199" s="38" t="n"/>
      <c r="G199" s="38" t="n"/>
      <c r="L199" s="25" t="n"/>
    </row>
    <row r="200" ht="15.75" customHeight="1" s="42">
      <c r="D200" s="38" t="n"/>
      <c r="F200" s="38" t="n"/>
      <c r="G200" s="38" t="n"/>
      <c r="L200" s="25" t="n"/>
    </row>
    <row r="201" ht="15.75" customHeight="1" s="42">
      <c r="D201" s="38" t="n"/>
      <c r="F201" s="38" t="n"/>
      <c r="G201" s="38" t="n"/>
      <c r="L201" s="25" t="n"/>
    </row>
    <row r="202" ht="15.75" customHeight="1" s="42">
      <c r="D202" s="38" t="n"/>
      <c r="F202" s="38" t="n"/>
      <c r="G202" s="38" t="n"/>
      <c r="L202" s="25" t="n"/>
    </row>
    <row r="203" ht="15.75" customHeight="1" s="42">
      <c r="D203" s="38" t="n"/>
      <c r="F203" s="38" t="n"/>
      <c r="G203" s="38" t="n"/>
      <c r="L203" s="25" t="n"/>
    </row>
    <row r="204" ht="15.75" customHeight="1" s="42">
      <c r="D204" s="38" t="n"/>
      <c r="F204" s="38" t="n"/>
      <c r="G204" s="38" t="n"/>
      <c r="L204" s="25" t="n"/>
    </row>
    <row r="205" ht="15.75" customHeight="1" s="42">
      <c r="D205" s="38" t="n"/>
      <c r="F205" s="38" t="n"/>
      <c r="G205" s="38" t="n"/>
      <c r="L205" s="25" t="n"/>
    </row>
    <row r="206" ht="15.75" customHeight="1" s="42">
      <c r="D206" s="38" t="n"/>
      <c r="F206" s="38" t="n"/>
      <c r="G206" s="38" t="n"/>
      <c r="L206" s="25" t="n"/>
    </row>
    <row r="207" ht="15.75" customHeight="1" s="42">
      <c r="D207" s="38" t="n"/>
      <c r="F207" s="38" t="n"/>
      <c r="G207" s="38" t="n"/>
      <c r="L207" s="25" t="n"/>
    </row>
    <row r="208" ht="15.75" customHeight="1" s="42">
      <c r="D208" s="38" t="n"/>
      <c r="F208" s="38" t="n"/>
      <c r="G208" s="38" t="n"/>
      <c r="L208" s="25" t="n"/>
    </row>
    <row r="209" ht="15.75" customHeight="1" s="42">
      <c r="D209" s="38" t="n"/>
      <c r="F209" s="38" t="n"/>
      <c r="G209" s="38" t="n"/>
      <c r="L209" s="25" t="n"/>
    </row>
    <row r="210" ht="15.75" customHeight="1" s="42">
      <c r="D210" s="38" t="n"/>
      <c r="F210" s="38" t="n"/>
      <c r="G210" s="38" t="n"/>
      <c r="L210" s="25" t="n"/>
    </row>
    <row r="211" ht="15.75" customHeight="1" s="42">
      <c r="D211" s="38" t="n"/>
      <c r="F211" s="38" t="n"/>
      <c r="G211" s="38" t="n"/>
      <c r="L211" s="25" t="n"/>
    </row>
    <row r="212" ht="15.75" customHeight="1" s="42">
      <c r="D212" s="38" t="n"/>
      <c r="F212" s="38" t="n"/>
      <c r="G212" s="38" t="n"/>
      <c r="L212" s="25" t="n"/>
    </row>
    <row r="213" ht="15.75" customHeight="1" s="42">
      <c r="D213" s="38" t="n"/>
      <c r="F213" s="38" t="n"/>
      <c r="G213" s="38" t="n"/>
      <c r="L213" s="25" t="n"/>
    </row>
    <row r="214" ht="15.75" customHeight="1" s="42">
      <c r="D214" s="38" t="n"/>
      <c r="F214" s="38" t="n"/>
      <c r="G214" s="38" t="n"/>
      <c r="L214" s="25" t="n"/>
    </row>
    <row r="215" ht="15.75" customHeight="1" s="42">
      <c r="D215" s="38" t="n"/>
      <c r="F215" s="38" t="n"/>
      <c r="G215" s="38" t="n"/>
      <c r="L215" s="25" t="n"/>
    </row>
    <row r="216" ht="15.75" customHeight="1" s="42">
      <c r="D216" s="38" t="n"/>
      <c r="F216" s="38" t="n"/>
      <c r="G216" s="38" t="n"/>
      <c r="L216" s="25" t="n"/>
    </row>
    <row r="217" ht="15.75" customHeight="1" s="42">
      <c r="D217" s="38" t="n"/>
      <c r="F217" s="38" t="n"/>
      <c r="G217" s="38" t="n"/>
      <c r="L217" s="25" t="n"/>
    </row>
    <row r="218" ht="15.75" customHeight="1" s="42">
      <c r="D218" s="38" t="n"/>
      <c r="F218" s="38" t="n"/>
      <c r="G218" s="38" t="n"/>
      <c r="L218" s="25" t="n"/>
    </row>
    <row r="219" ht="15.75" customHeight="1" s="42">
      <c r="D219" s="38" t="n"/>
      <c r="F219" s="38" t="n"/>
      <c r="G219" s="38" t="n"/>
      <c r="L219" s="25" t="n"/>
    </row>
    <row r="220" ht="15.75" customHeight="1" s="42">
      <c r="D220" s="38" t="n"/>
      <c r="F220" s="38" t="n"/>
      <c r="G220" s="38" t="n"/>
      <c r="L220" s="25" t="n"/>
    </row>
    <row r="221" ht="15.75" customHeight="1" s="42">
      <c r="D221" s="38" t="n"/>
      <c r="F221" s="38" t="n"/>
      <c r="G221" s="38" t="n"/>
      <c r="L221" s="25" t="n"/>
    </row>
    <row r="222" ht="15.75" customHeight="1" s="42">
      <c r="D222" s="38" t="n"/>
      <c r="F222" s="38" t="n"/>
      <c r="G222" s="38" t="n"/>
      <c r="L222" s="25" t="n"/>
    </row>
    <row r="223" ht="15.75" customHeight="1" s="42">
      <c r="D223" s="38" t="n"/>
      <c r="F223" s="38" t="n"/>
      <c r="G223" s="38" t="n"/>
      <c r="L223" s="25" t="n"/>
    </row>
    <row r="224" ht="15.75" customHeight="1" s="42">
      <c r="D224" s="38" t="n"/>
      <c r="F224" s="38" t="n"/>
      <c r="G224" s="38" t="n"/>
      <c r="L224" s="25" t="n"/>
    </row>
    <row r="225" ht="15.75" customHeight="1" s="42">
      <c r="D225" s="38" t="n"/>
      <c r="F225" s="38" t="n"/>
      <c r="G225" s="38" t="n"/>
      <c r="L225" s="25" t="n"/>
    </row>
    <row r="226" ht="15.75" customHeight="1" s="42">
      <c r="D226" s="38" t="n"/>
      <c r="F226" s="38" t="n"/>
      <c r="G226" s="38" t="n"/>
      <c r="L226" s="25" t="n"/>
    </row>
    <row r="227" ht="15.75" customHeight="1" s="42">
      <c r="D227" s="38" t="n"/>
      <c r="F227" s="38" t="n"/>
      <c r="G227" s="38" t="n"/>
      <c r="L227" s="25" t="n"/>
    </row>
    <row r="228" ht="15.75" customHeight="1" s="42">
      <c r="D228" s="38" t="n"/>
      <c r="F228" s="38" t="n"/>
      <c r="G228" s="38" t="n"/>
      <c r="L228" s="25" t="n"/>
    </row>
    <row r="229" ht="15.75" customHeight="1" s="42">
      <c r="D229" s="38" t="n"/>
      <c r="F229" s="38" t="n"/>
      <c r="G229" s="38" t="n"/>
      <c r="L229" s="25" t="n"/>
    </row>
    <row r="230" ht="15.75" customHeight="1" s="42">
      <c r="D230" s="38" t="n"/>
      <c r="F230" s="38" t="n"/>
      <c r="G230" s="38" t="n"/>
      <c r="L230" s="25" t="n"/>
    </row>
    <row r="231" ht="15.75" customHeight="1" s="42">
      <c r="D231" s="38" t="n"/>
      <c r="F231" s="38" t="n"/>
      <c r="G231" s="38" t="n"/>
      <c r="L231" s="25" t="n"/>
    </row>
    <row r="232" ht="15.75" customHeight="1" s="42">
      <c r="D232" s="38" t="n"/>
      <c r="F232" s="38" t="n"/>
      <c r="G232" s="38" t="n"/>
      <c r="L232" s="25" t="n"/>
    </row>
    <row r="233" ht="15.75" customHeight="1" s="42">
      <c r="D233" s="38" t="n"/>
      <c r="F233" s="38" t="n"/>
      <c r="G233" s="38" t="n"/>
      <c r="L233" s="25" t="n"/>
    </row>
    <row r="234" ht="15.75" customHeight="1" s="42">
      <c r="D234" s="38" t="n"/>
      <c r="F234" s="38" t="n"/>
      <c r="G234" s="38" t="n"/>
      <c r="L234" s="25" t="n"/>
    </row>
    <row r="235" ht="15.75" customHeight="1" s="42">
      <c r="D235" s="38" t="n"/>
      <c r="F235" s="38" t="n"/>
      <c r="G235" s="38" t="n"/>
      <c r="L235" s="25" t="n"/>
    </row>
    <row r="236" ht="15.75" customHeight="1" s="42">
      <c r="D236" s="38" t="n"/>
      <c r="F236" s="38" t="n"/>
      <c r="G236" s="38" t="n"/>
      <c r="L236" s="25" t="n"/>
    </row>
    <row r="237" ht="15.75" customHeight="1" s="42">
      <c r="D237" s="38" t="n"/>
      <c r="F237" s="38" t="n"/>
      <c r="G237" s="38" t="n"/>
      <c r="L237" s="25" t="n"/>
    </row>
    <row r="238" ht="15.75" customHeight="1" s="42">
      <c r="D238" s="38" t="n"/>
      <c r="F238" s="38" t="n"/>
      <c r="G238" s="38" t="n"/>
      <c r="L238" s="25" t="n"/>
    </row>
    <row r="239" ht="15.75" customHeight="1" s="42">
      <c r="D239" s="38" t="n"/>
      <c r="F239" s="38" t="n"/>
      <c r="G239" s="38" t="n"/>
      <c r="L239" s="25" t="n"/>
    </row>
    <row r="240" ht="15.75" customHeight="1" s="42">
      <c r="D240" s="38" t="n"/>
      <c r="F240" s="38" t="n"/>
      <c r="G240" s="38" t="n"/>
      <c r="L240" s="25" t="n"/>
    </row>
    <row r="241" ht="15.75" customHeight="1" s="42">
      <c r="D241" s="38" t="n"/>
      <c r="F241" s="38" t="n"/>
      <c r="G241" s="38" t="n"/>
      <c r="L241" s="25" t="n"/>
    </row>
    <row r="242" ht="15.75" customHeight="1" s="42">
      <c r="D242" s="38" t="n"/>
      <c r="F242" s="38" t="n"/>
      <c r="G242" s="38" t="n"/>
      <c r="L242" s="25" t="n"/>
    </row>
    <row r="243" ht="15.75" customHeight="1" s="42">
      <c r="D243" s="38" t="n"/>
      <c r="F243" s="38" t="n"/>
      <c r="G243" s="38" t="n"/>
      <c r="L243" s="25" t="n"/>
    </row>
    <row r="244" ht="15.75" customHeight="1" s="42">
      <c r="D244" s="38" t="n"/>
      <c r="F244" s="38" t="n"/>
      <c r="G244" s="38" t="n"/>
      <c r="L244" s="25" t="n"/>
    </row>
    <row r="245" ht="15.75" customHeight="1" s="42">
      <c r="D245" s="38" t="n"/>
      <c r="F245" s="38" t="n"/>
      <c r="G245" s="38" t="n"/>
      <c r="L245" s="25" t="n"/>
    </row>
    <row r="246" ht="15.75" customHeight="1" s="42">
      <c r="D246" s="38" t="n"/>
      <c r="F246" s="38" t="n"/>
      <c r="G246" s="38" t="n"/>
      <c r="L246" s="25" t="n"/>
    </row>
    <row r="247" ht="15.75" customHeight="1" s="42">
      <c r="D247" s="38" t="n"/>
      <c r="F247" s="38" t="n"/>
      <c r="G247" s="38" t="n"/>
      <c r="L247" s="25" t="n"/>
    </row>
    <row r="248" ht="15.75" customHeight="1" s="42">
      <c r="D248" s="38" t="n"/>
      <c r="F248" s="38" t="n"/>
      <c r="G248" s="38" t="n"/>
      <c r="L248" s="25" t="n"/>
    </row>
    <row r="249" ht="15.75" customHeight="1" s="42">
      <c r="D249" s="38" t="n"/>
      <c r="F249" s="38" t="n"/>
      <c r="G249" s="38" t="n"/>
      <c r="L249" s="25" t="n"/>
    </row>
    <row r="250" ht="15.75" customHeight="1" s="42">
      <c r="D250" s="38" t="n"/>
      <c r="F250" s="38" t="n"/>
      <c r="G250" s="38" t="n"/>
      <c r="L250" s="25" t="n"/>
    </row>
    <row r="251" ht="15.75" customHeight="1" s="42">
      <c r="D251" s="38" t="n"/>
      <c r="F251" s="38" t="n"/>
      <c r="G251" s="38" t="n"/>
      <c r="L251" s="25" t="n"/>
    </row>
    <row r="252" ht="15.75" customHeight="1" s="42">
      <c r="D252" s="38" t="n"/>
      <c r="F252" s="38" t="n"/>
      <c r="G252" s="38" t="n"/>
      <c r="L252" s="25" t="n"/>
    </row>
    <row r="253" ht="15.75" customHeight="1" s="42">
      <c r="D253" s="38" t="n"/>
      <c r="F253" s="38" t="n"/>
      <c r="G253" s="38" t="n"/>
      <c r="L253" s="25" t="n"/>
    </row>
    <row r="254" ht="15.75" customHeight="1" s="42">
      <c r="D254" s="38" t="n"/>
      <c r="F254" s="38" t="n"/>
      <c r="G254" s="38" t="n"/>
      <c r="L254" s="25" t="n"/>
    </row>
    <row r="255" ht="15.75" customHeight="1" s="42">
      <c r="D255" s="38" t="n"/>
      <c r="F255" s="38" t="n"/>
      <c r="G255" s="38" t="n"/>
      <c r="L255" s="25" t="n"/>
    </row>
    <row r="256" ht="15.75" customHeight="1" s="42">
      <c r="D256" s="38" t="n"/>
      <c r="F256" s="38" t="n"/>
      <c r="G256" s="38" t="n"/>
      <c r="L256" s="25" t="n"/>
    </row>
    <row r="257" ht="15.75" customHeight="1" s="42">
      <c r="D257" s="38" t="n"/>
      <c r="F257" s="38" t="n"/>
      <c r="G257" s="38" t="n"/>
      <c r="L257" s="25" t="n"/>
    </row>
    <row r="258" ht="15.75" customHeight="1" s="42">
      <c r="D258" s="38" t="n"/>
      <c r="F258" s="38" t="n"/>
      <c r="G258" s="38" t="n"/>
      <c r="L258" s="25" t="n"/>
    </row>
    <row r="259" ht="15.75" customHeight="1" s="42">
      <c r="D259" s="38" t="n"/>
      <c r="F259" s="38" t="n"/>
      <c r="G259" s="38" t="n"/>
      <c r="L259" s="25" t="n"/>
    </row>
    <row r="260" ht="15.75" customHeight="1" s="42">
      <c r="D260" s="38" t="n"/>
      <c r="F260" s="38" t="n"/>
      <c r="G260" s="38" t="n"/>
      <c r="L260" s="25" t="n"/>
    </row>
    <row r="261" ht="15.75" customHeight="1" s="42">
      <c r="D261" s="38" t="n"/>
      <c r="F261" s="38" t="n"/>
      <c r="G261" s="38" t="n"/>
      <c r="L261" s="25" t="n"/>
    </row>
    <row r="262" ht="15.75" customHeight="1" s="42">
      <c r="D262" s="38" t="n"/>
      <c r="F262" s="38" t="n"/>
      <c r="G262" s="38" t="n"/>
      <c r="L262" s="25" t="n"/>
    </row>
    <row r="263" ht="15.75" customHeight="1" s="42">
      <c r="D263" s="38" t="n"/>
      <c r="F263" s="38" t="n"/>
      <c r="G263" s="38" t="n"/>
      <c r="L263" s="25" t="n"/>
    </row>
    <row r="264" ht="15.75" customHeight="1" s="42">
      <c r="D264" s="38" t="n"/>
      <c r="F264" s="38" t="n"/>
      <c r="G264" s="38" t="n"/>
      <c r="L264" s="25" t="n"/>
    </row>
    <row r="265" ht="15.75" customHeight="1" s="42">
      <c r="D265" s="38" t="n"/>
      <c r="F265" s="38" t="n"/>
      <c r="G265" s="38" t="n"/>
      <c r="L265" s="25" t="n"/>
    </row>
    <row r="266" ht="15.75" customHeight="1" s="42">
      <c r="D266" s="38" t="n"/>
      <c r="F266" s="38" t="n"/>
      <c r="G266" s="38" t="n"/>
      <c r="L266" s="25" t="n"/>
    </row>
    <row r="267" ht="15.75" customHeight="1" s="42">
      <c r="D267" s="38" t="n"/>
      <c r="F267" s="38" t="n"/>
      <c r="G267" s="38" t="n"/>
      <c r="L267" s="25" t="n"/>
    </row>
    <row r="268" ht="15.75" customHeight="1" s="42">
      <c r="D268" s="38" t="n"/>
      <c r="F268" s="38" t="n"/>
      <c r="G268" s="38" t="n"/>
      <c r="L268" s="25" t="n"/>
    </row>
    <row r="269" ht="15.75" customHeight="1" s="42">
      <c r="D269" s="38" t="n"/>
      <c r="F269" s="38" t="n"/>
      <c r="G269" s="38" t="n"/>
      <c r="L269" s="25" t="n"/>
    </row>
    <row r="270" ht="15.75" customHeight="1" s="42">
      <c r="D270" s="38" t="n"/>
      <c r="F270" s="38" t="n"/>
      <c r="G270" s="38" t="n"/>
      <c r="L270" s="25" t="n"/>
    </row>
    <row r="271" ht="15.75" customHeight="1" s="42">
      <c r="D271" s="38" t="n"/>
      <c r="F271" s="38" t="n"/>
      <c r="G271" s="38" t="n"/>
      <c r="L271" s="25" t="n"/>
    </row>
    <row r="272" ht="15.75" customHeight="1" s="42">
      <c r="D272" s="38" t="n"/>
      <c r="F272" s="38" t="n"/>
      <c r="G272" s="38" t="n"/>
      <c r="L272" s="25" t="n"/>
    </row>
    <row r="273" ht="15.75" customHeight="1" s="42">
      <c r="D273" s="38" t="n"/>
      <c r="F273" s="38" t="n"/>
      <c r="G273" s="38" t="n"/>
      <c r="L273" s="25" t="n"/>
    </row>
    <row r="274" ht="15.75" customHeight="1" s="42">
      <c r="D274" s="38" t="n"/>
      <c r="F274" s="38" t="n"/>
      <c r="G274" s="38" t="n"/>
      <c r="L274" s="25" t="n"/>
    </row>
    <row r="275" ht="15.75" customHeight="1" s="42">
      <c r="D275" s="38" t="n"/>
      <c r="F275" s="38" t="n"/>
      <c r="G275" s="38" t="n"/>
      <c r="L275" s="25" t="n"/>
    </row>
    <row r="276" ht="15.75" customHeight="1" s="42">
      <c r="D276" s="38" t="n"/>
      <c r="F276" s="38" t="n"/>
      <c r="G276" s="38" t="n"/>
      <c r="L276" s="25" t="n"/>
    </row>
    <row r="277" ht="15.75" customHeight="1" s="42">
      <c r="D277" s="38" t="n"/>
      <c r="F277" s="38" t="n"/>
      <c r="G277" s="38" t="n"/>
      <c r="L277" s="25" t="n"/>
    </row>
    <row r="278" ht="15.75" customHeight="1" s="42">
      <c r="D278" s="38" t="n"/>
      <c r="F278" s="38" t="n"/>
      <c r="G278" s="38" t="n"/>
      <c r="L278" s="25" t="n"/>
    </row>
    <row r="279" ht="15.75" customHeight="1" s="42">
      <c r="D279" s="38" t="n"/>
      <c r="F279" s="38" t="n"/>
      <c r="G279" s="38" t="n"/>
      <c r="L279" s="25" t="n"/>
    </row>
    <row r="280" ht="15.75" customHeight="1" s="42">
      <c r="D280" s="38" t="n"/>
      <c r="F280" s="38" t="n"/>
      <c r="G280" s="38" t="n"/>
      <c r="L280" s="25" t="n"/>
    </row>
    <row r="281" ht="15.75" customHeight="1" s="42">
      <c r="D281" s="38" t="n"/>
      <c r="F281" s="38" t="n"/>
      <c r="G281" s="38" t="n"/>
      <c r="L281" s="25" t="n"/>
    </row>
    <row r="282" ht="15.75" customHeight="1" s="42">
      <c r="D282" s="38" t="n"/>
      <c r="F282" s="38" t="n"/>
      <c r="G282" s="38" t="n"/>
      <c r="L282" s="25" t="n"/>
    </row>
    <row r="283" ht="15.75" customHeight="1" s="42">
      <c r="D283" s="38" t="n"/>
      <c r="F283" s="38" t="n"/>
      <c r="G283" s="38" t="n"/>
      <c r="L283" s="25" t="n"/>
    </row>
    <row r="284" ht="15.75" customHeight="1" s="42">
      <c r="D284" s="38" t="n"/>
      <c r="F284" s="38" t="n"/>
      <c r="G284" s="38" t="n"/>
      <c r="L284" s="25" t="n"/>
    </row>
    <row r="285" ht="15.75" customHeight="1" s="42">
      <c r="D285" s="38" t="n"/>
      <c r="F285" s="38" t="n"/>
      <c r="G285" s="38" t="n"/>
      <c r="L285" s="25" t="n"/>
    </row>
    <row r="286" ht="15.75" customHeight="1" s="42">
      <c r="D286" s="38" t="n"/>
      <c r="F286" s="38" t="n"/>
      <c r="G286" s="38" t="n"/>
      <c r="L286" s="25" t="n"/>
    </row>
    <row r="287" ht="15.75" customHeight="1" s="42">
      <c r="D287" s="38" t="n"/>
      <c r="F287" s="38" t="n"/>
      <c r="G287" s="38" t="n"/>
      <c r="L287" s="25" t="n"/>
    </row>
    <row r="288" ht="15.75" customHeight="1" s="42">
      <c r="D288" s="38" t="n"/>
      <c r="F288" s="38" t="n"/>
      <c r="G288" s="38" t="n"/>
    </row>
    <row r="289" ht="15.75" customHeight="1" s="42">
      <c r="D289" s="38" t="n"/>
      <c r="F289" s="38" t="n"/>
      <c r="G289" s="38" t="n"/>
    </row>
    <row r="290" ht="15.75" customHeight="1" s="42">
      <c r="D290" s="38" t="n"/>
      <c r="F290" s="38" t="n"/>
      <c r="G290" s="38" t="n"/>
    </row>
    <row r="291" ht="15.75" customHeight="1" s="42">
      <c r="D291" s="38" t="n"/>
      <c r="F291" s="38" t="n"/>
      <c r="G291" s="38" t="n"/>
    </row>
    <row r="292" ht="15.75" customHeight="1" s="42">
      <c r="D292" s="38" t="n"/>
      <c r="F292" s="38" t="n"/>
      <c r="G292" s="38" t="n"/>
    </row>
    <row r="293" ht="15.75" customHeight="1" s="42">
      <c r="D293" s="38" t="n"/>
      <c r="F293" s="38" t="n"/>
      <c r="G293" s="38" t="n"/>
    </row>
    <row r="294" ht="15.75" customHeight="1" s="42">
      <c r="D294" s="38" t="n"/>
      <c r="F294" s="38" t="n"/>
      <c r="G294" s="38" t="n"/>
    </row>
    <row r="295" ht="15.75" customHeight="1" s="42">
      <c r="D295" s="38" t="n"/>
      <c r="F295" s="38" t="n"/>
      <c r="G295" s="38" t="n"/>
    </row>
    <row r="296" ht="15.75" customHeight="1" s="42">
      <c r="D296" s="38" t="n"/>
      <c r="F296" s="38" t="n"/>
      <c r="G296" s="38" t="n"/>
    </row>
    <row r="297" ht="15.75" customHeight="1" s="42">
      <c r="D297" s="38" t="n"/>
      <c r="F297" s="38" t="n"/>
      <c r="G297" s="38" t="n"/>
    </row>
    <row r="298" ht="15.75" customHeight="1" s="42">
      <c r="D298" s="38" t="n"/>
      <c r="F298" s="38" t="n"/>
      <c r="G298" s="38" t="n"/>
    </row>
    <row r="299" ht="15.75" customHeight="1" s="42">
      <c r="D299" s="38" t="n"/>
      <c r="F299" s="38" t="n"/>
      <c r="G299" s="38" t="n"/>
    </row>
    <row r="300" ht="15.75" customHeight="1" s="42">
      <c r="D300" s="38" t="n"/>
      <c r="F300" s="38" t="n"/>
      <c r="G300" s="38" t="n"/>
    </row>
    <row r="301" ht="15.75" customHeight="1" s="42">
      <c r="D301" s="38" t="n"/>
      <c r="F301" s="38" t="n"/>
      <c r="G301" s="38" t="n"/>
    </row>
    <row r="302" ht="15.75" customHeight="1" s="42">
      <c r="D302" s="38" t="n"/>
      <c r="F302" s="38" t="n"/>
      <c r="G302" s="38" t="n"/>
    </row>
    <row r="303" ht="15.75" customHeight="1" s="42">
      <c r="D303" s="38" t="n"/>
      <c r="F303" s="38" t="n"/>
      <c r="G303" s="38" t="n"/>
    </row>
    <row r="304" ht="15.75" customHeight="1" s="42">
      <c r="D304" s="38" t="n"/>
      <c r="F304" s="38" t="n"/>
      <c r="G304" s="38" t="n"/>
    </row>
    <row r="305" ht="15.75" customHeight="1" s="42">
      <c r="D305" s="38" t="n"/>
      <c r="F305" s="38" t="n"/>
      <c r="G305" s="38" t="n"/>
    </row>
    <row r="306" ht="15.75" customHeight="1" s="42">
      <c r="D306" s="38" t="n"/>
      <c r="F306" s="38" t="n"/>
      <c r="G306" s="38" t="n"/>
    </row>
    <row r="307" ht="15.75" customHeight="1" s="42">
      <c r="D307" s="38" t="n"/>
      <c r="F307" s="38" t="n"/>
      <c r="G307" s="38" t="n"/>
    </row>
    <row r="308" ht="15.75" customHeight="1" s="42">
      <c r="D308" s="38" t="n"/>
      <c r="F308" s="38" t="n"/>
      <c r="G308" s="38" t="n"/>
    </row>
    <row r="309" ht="15.75" customHeight="1" s="42">
      <c r="D309" s="38" t="n"/>
      <c r="F309" s="38" t="n"/>
      <c r="G309" s="38" t="n"/>
    </row>
    <row r="310" ht="15.75" customHeight="1" s="42">
      <c r="D310" s="38" t="n"/>
      <c r="F310" s="38" t="n"/>
      <c r="G310" s="38" t="n"/>
    </row>
    <row r="311" ht="15.75" customHeight="1" s="42">
      <c r="D311" s="38" t="n"/>
      <c r="F311" s="38" t="n"/>
      <c r="G311" s="38" t="n"/>
    </row>
    <row r="312" ht="15.75" customHeight="1" s="42">
      <c r="D312" s="38" t="n"/>
      <c r="F312" s="38" t="n"/>
      <c r="G312" s="38" t="n"/>
    </row>
    <row r="313" ht="15.75" customHeight="1" s="42">
      <c r="D313" s="38" t="n"/>
      <c r="F313" s="38" t="n"/>
      <c r="G313" s="38" t="n"/>
    </row>
    <row r="314" ht="15.75" customHeight="1" s="42">
      <c r="D314" s="38" t="n"/>
      <c r="F314" s="38" t="n"/>
      <c r="G314" s="38" t="n"/>
    </row>
    <row r="315" ht="15.75" customHeight="1" s="42">
      <c r="D315" s="38" t="n"/>
      <c r="F315" s="38" t="n"/>
      <c r="G315" s="38" t="n"/>
    </row>
    <row r="316" ht="15.75" customHeight="1" s="42">
      <c r="D316" s="38" t="n"/>
      <c r="F316" s="38" t="n"/>
      <c r="G316" s="38" t="n"/>
    </row>
    <row r="317" ht="15.75" customHeight="1" s="42">
      <c r="D317" s="38" t="n"/>
      <c r="F317" s="38" t="n"/>
      <c r="G317" s="38" t="n"/>
    </row>
    <row r="318" ht="15.75" customHeight="1" s="42">
      <c r="D318" s="38" t="n"/>
      <c r="F318" s="38" t="n"/>
      <c r="G318" s="38" t="n"/>
    </row>
    <row r="319" ht="15.75" customHeight="1" s="42">
      <c r="D319" s="38" t="n"/>
      <c r="F319" s="38" t="n"/>
      <c r="G319" s="38" t="n"/>
    </row>
    <row r="320" ht="15.75" customHeight="1" s="42">
      <c r="D320" s="38" t="n"/>
      <c r="F320" s="38" t="n"/>
      <c r="G320" s="38" t="n"/>
    </row>
    <row r="321" ht="15.75" customHeight="1" s="42">
      <c r="D321" s="38" t="n"/>
      <c r="F321" s="38" t="n"/>
      <c r="G321" s="38" t="n"/>
    </row>
    <row r="322" ht="15.75" customHeight="1" s="42">
      <c r="D322" s="38" t="n"/>
      <c r="F322" s="38" t="n"/>
      <c r="G322" s="38" t="n"/>
    </row>
    <row r="323" ht="15.75" customHeight="1" s="42">
      <c r="D323" s="38" t="n"/>
      <c r="F323" s="38" t="n"/>
      <c r="G323" s="38" t="n"/>
    </row>
    <row r="324" ht="15.75" customHeight="1" s="42">
      <c r="D324" s="38" t="n"/>
      <c r="F324" s="38" t="n"/>
      <c r="G324" s="38" t="n"/>
    </row>
    <row r="325" ht="15.75" customHeight="1" s="42">
      <c r="D325" s="38" t="n"/>
      <c r="F325" s="38" t="n"/>
      <c r="G325" s="38" t="n"/>
    </row>
    <row r="326" ht="15.75" customHeight="1" s="42">
      <c r="D326" s="38" t="n"/>
      <c r="F326" s="38" t="n"/>
      <c r="G326" s="38" t="n"/>
    </row>
    <row r="327" ht="15.75" customHeight="1" s="42">
      <c r="D327" s="38" t="n"/>
      <c r="F327" s="38" t="n"/>
      <c r="G327" s="38" t="n"/>
    </row>
    <row r="328" ht="15.75" customHeight="1" s="42">
      <c r="D328" s="38" t="n"/>
      <c r="F328" s="38" t="n"/>
      <c r="G328" s="38" t="n"/>
    </row>
    <row r="329" ht="15.75" customHeight="1" s="42">
      <c r="D329" s="38" t="n"/>
      <c r="F329" s="38" t="n"/>
      <c r="G329" s="38" t="n"/>
    </row>
    <row r="330" ht="15.75" customHeight="1" s="42">
      <c r="D330" s="38" t="n"/>
      <c r="F330" s="38" t="n"/>
      <c r="G330" s="38" t="n"/>
    </row>
    <row r="331" ht="15.75" customHeight="1" s="42">
      <c r="D331" s="38" t="n"/>
      <c r="F331" s="38" t="n"/>
      <c r="G331" s="38" t="n"/>
    </row>
    <row r="332" ht="15.75" customHeight="1" s="42">
      <c r="D332" s="38" t="n"/>
      <c r="F332" s="38" t="n"/>
      <c r="G332" s="38" t="n"/>
    </row>
    <row r="333" ht="15.75" customHeight="1" s="42">
      <c r="D333" s="38" t="n"/>
      <c r="F333" s="38" t="n"/>
      <c r="G333" s="38" t="n"/>
    </row>
    <row r="334" ht="15.75" customHeight="1" s="42">
      <c r="D334" s="38" t="n"/>
      <c r="F334" s="38" t="n"/>
      <c r="G334" s="38" t="n"/>
    </row>
    <row r="335" ht="15.75" customHeight="1" s="42">
      <c r="D335" s="38" t="n"/>
      <c r="F335" s="38" t="n"/>
      <c r="G335" s="38" t="n"/>
    </row>
    <row r="336" ht="15.75" customHeight="1" s="42">
      <c r="D336" s="38" t="n"/>
      <c r="F336" s="38" t="n"/>
      <c r="G336" s="38" t="n"/>
    </row>
    <row r="337" ht="15.75" customHeight="1" s="42">
      <c r="D337" s="38" t="n"/>
      <c r="F337" s="38" t="n"/>
      <c r="G337" s="38" t="n"/>
    </row>
    <row r="338" ht="15.75" customHeight="1" s="42">
      <c r="D338" s="38" t="n"/>
      <c r="F338" s="38" t="n"/>
      <c r="G338" s="38" t="n"/>
    </row>
    <row r="339" ht="15.75" customHeight="1" s="42">
      <c r="D339" s="38" t="n"/>
      <c r="F339" s="38" t="n"/>
      <c r="G339" s="38" t="n"/>
    </row>
    <row r="340" ht="15.75" customHeight="1" s="42">
      <c r="D340" s="38" t="n"/>
      <c r="F340" s="38" t="n"/>
      <c r="G340" s="38" t="n"/>
    </row>
    <row r="341" ht="15.75" customHeight="1" s="42">
      <c r="D341" s="38" t="n"/>
      <c r="F341" s="38" t="n"/>
      <c r="G341" s="38" t="n"/>
    </row>
    <row r="342" ht="15.75" customHeight="1" s="42">
      <c r="D342" s="38" t="n"/>
      <c r="F342" s="38" t="n"/>
      <c r="G342" s="38" t="n"/>
    </row>
    <row r="343" ht="15.75" customHeight="1" s="42">
      <c r="D343" s="38" t="n"/>
      <c r="F343" s="38" t="n"/>
      <c r="G343" s="38" t="n"/>
    </row>
    <row r="344" ht="15.75" customHeight="1" s="42">
      <c r="D344" s="38" t="n"/>
      <c r="F344" s="38" t="n"/>
      <c r="G344" s="38" t="n"/>
    </row>
    <row r="345" ht="15.75" customHeight="1" s="42">
      <c r="D345" s="38" t="n"/>
      <c r="F345" s="38" t="n"/>
      <c r="G345" s="38" t="n"/>
    </row>
    <row r="346" ht="15.75" customHeight="1" s="42">
      <c r="D346" s="38" t="n"/>
      <c r="F346" s="38" t="n"/>
      <c r="G346" s="38" t="n"/>
    </row>
    <row r="347" ht="15.75" customHeight="1" s="42">
      <c r="D347" s="38" t="n"/>
      <c r="F347" s="38" t="n"/>
      <c r="G347" s="38" t="n"/>
    </row>
    <row r="348" ht="15.75" customHeight="1" s="42">
      <c r="D348" s="38" t="n"/>
      <c r="F348" s="38" t="n"/>
      <c r="G348" s="38" t="n"/>
    </row>
    <row r="349" ht="15.75" customHeight="1" s="42">
      <c r="D349" s="38" t="n"/>
      <c r="F349" s="38" t="n"/>
      <c r="G349" s="38" t="n"/>
    </row>
    <row r="350" ht="15.75" customHeight="1" s="42">
      <c r="D350" s="38" t="n"/>
      <c r="F350" s="38" t="n"/>
      <c r="G350" s="38" t="n"/>
    </row>
    <row r="351" ht="15.75" customHeight="1" s="42">
      <c r="D351" s="38" t="n"/>
      <c r="F351" s="38" t="n"/>
      <c r="G351" s="38" t="n"/>
    </row>
    <row r="352" ht="15.75" customHeight="1" s="42">
      <c r="D352" s="38" t="n"/>
      <c r="F352" s="38" t="n"/>
      <c r="G352" s="38" t="n"/>
    </row>
    <row r="353" ht="15.75" customHeight="1" s="42">
      <c r="D353" s="38" t="n"/>
      <c r="F353" s="38" t="n"/>
      <c r="G353" s="38" t="n"/>
    </row>
    <row r="354" ht="15.75" customHeight="1" s="42">
      <c r="D354" s="38" t="n"/>
      <c r="F354" s="38" t="n"/>
      <c r="G354" s="38" t="n"/>
    </row>
    <row r="355" ht="15.75" customHeight="1" s="42">
      <c r="D355" s="38" t="n"/>
      <c r="F355" s="38" t="n"/>
      <c r="G355" s="38" t="n"/>
    </row>
    <row r="356" ht="15.75" customHeight="1" s="42">
      <c r="D356" s="38" t="n"/>
      <c r="F356" s="38" t="n"/>
      <c r="G356" s="38" t="n"/>
    </row>
    <row r="357" ht="15.75" customHeight="1" s="42">
      <c r="D357" s="38" t="n"/>
      <c r="F357" s="38" t="n"/>
      <c r="G357" s="38" t="n"/>
    </row>
    <row r="358" ht="15.75" customHeight="1" s="42">
      <c r="D358" s="38" t="n"/>
      <c r="F358" s="38" t="n"/>
      <c r="G358" s="38" t="n"/>
    </row>
    <row r="359" ht="15.75" customHeight="1" s="42">
      <c r="D359" s="38" t="n"/>
      <c r="F359" s="38" t="n"/>
      <c r="G359" s="38" t="n"/>
    </row>
    <row r="360" ht="15.75" customHeight="1" s="42">
      <c r="D360" s="38" t="n"/>
      <c r="F360" s="38" t="n"/>
      <c r="G360" s="38" t="n"/>
    </row>
    <row r="361" ht="15.75" customHeight="1" s="42">
      <c r="D361" s="38" t="n"/>
      <c r="F361" s="38" t="n"/>
      <c r="G361" s="38" t="n"/>
    </row>
    <row r="362" ht="15.75" customHeight="1" s="42">
      <c r="D362" s="38" t="n"/>
      <c r="F362" s="38" t="n"/>
      <c r="G362" s="38" t="n"/>
    </row>
    <row r="363" ht="15.75" customHeight="1" s="42">
      <c r="D363" s="38" t="n"/>
      <c r="F363" s="38" t="n"/>
      <c r="G363" s="38" t="n"/>
    </row>
    <row r="364" ht="15.75" customHeight="1" s="42">
      <c r="D364" s="38" t="n"/>
      <c r="F364" s="38" t="n"/>
      <c r="G364" s="38" t="n"/>
    </row>
    <row r="365" ht="15.75" customHeight="1" s="42">
      <c r="D365" s="38" t="n"/>
      <c r="F365" s="38" t="n"/>
      <c r="G365" s="38" t="n"/>
    </row>
    <row r="366" ht="15.75" customHeight="1" s="42">
      <c r="D366" s="38" t="n"/>
      <c r="F366" s="38" t="n"/>
      <c r="G366" s="38" t="n"/>
    </row>
    <row r="367" ht="15.75" customHeight="1" s="42">
      <c r="D367" s="38" t="n"/>
      <c r="F367" s="38" t="n"/>
      <c r="G367" s="38" t="n"/>
    </row>
    <row r="368" ht="15.75" customHeight="1" s="42">
      <c r="D368" s="38" t="n"/>
      <c r="F368" s="38" t="n"/>
      <c r="G368" s="38" t="n"/>
    </row>
    <row r="369" ht="15.75" customHeight="1" s="42">
      <c r="D369" s="38" t="n"/>
      <c r="F369" s="38" t="n"/>
      <c r="G369" s="38" t="n"/>
    </row>
    <row r="370" ht="15.75" customHeight="1" s="42">
      <c r="D370" s="38" t="n"/>
      <c r="F370" s="38" t="n"/>
      <c r="G370" s="38" t="n"/>
    </row>
    <row r="371" ht="15.75" customHeight="1" s="42">
      <c r="D371" s="38" t="n"/>
      <c r="F371" s="38" t="n"/>
      <c r="G371" s="38" t="n"/>
    </row>
    <row r="372" ht="15.75" customHeight="1" s="42">
      <c r="D372" s="38" t="n"/>
      <c r="F372" s="38" t="n"/>
      <c r="G372" s="38" t="n"/>
    </row>
    <row r="373" ht="15.75" customHeight="1" s="42">
      <c r="D373" s="38" t="n"/>
      <c r="F373" s="38" t="n"/>
      <c r="G373" s="38" t="n"/>
    </row>
    <row r="374" ht="15.75" customHeight="1" s="42">
      <c r="D374" s="38" t="n"/>
      <c r="F374" s="38" t="n"/>
      <c r="G374" s="38" t="n"/>
    </row>
    <row r="375" ht="15.75" customHeight="1" s="42">
      <c r="D375" s="38" t="n"/>
      <c r="F375" s="38" t="n"/>
      <c r="G375" s="38" t="n"/>
    </row>
    <row r="376" ht="15.75" customHeight="1" s="42">
      <c r="D376" s="38" t="n"/>
      <c r="F376" s="38" t="n"/>
      <c r="G376" s="38" t="n"/>
    </row>
    <row r="377" ht="15.75" customHeight="1" s="42">
      <c r="D377" s="38" t="n"/>
      <c r="F377" s="38" t="n"/>
      <c r="G377" s="38" t="n"/>
    </row>
    <row r="378" ht="15.75" customHeight="1" s="42">
      <c r="D378" s="38" t="n"/>
      <c r="F378" s="38" t="n"/>
      <c r="G378" s="38" t="n"/>
    </row>
    <row r="379" ht="15.75" customHeight="1" s="42">
      <c r="D379" s="38" t="n"/>
      <c r="F379" s="38" t="n"/>
      <c r="G379" s="38" t="n"/>
    </row>
    <row r="380" ht="15.75" customHeight="1" s="42">
      <c r="D380" s="38" t="n"/>
      <c r="F380" s="38" t="n"/>
      <c r="G380" s="38" t="n"/>
    </row>
    <row r="381" ht="15.75" customHeight="1" s="42">
      <c r="D381" s="38" t="n"/>
      <c r="F381" s="38" t="n"/>
      <c r="G381" s="38" t="n"/>
    </row>
    <row r="382" ht="15.75" customHeight="1" s="42">
      <c r="D382" s="38" t="n"/>
      <c r="F382" s="38" t="n"/>
      <c r="G382" s="38" t="n"/>
    </row>
    <row r="383" ht="15.75" customHeight="1" s="42">
      <c r="D383" s="38" t="n"/>
      <c r="F383" s="38" t="n"/>
      <c r="G383" s="38" t="n"/>
    </row>
    <row r="384" ht="15.75" customHeight="1" s="42">
      <c r="D384" s="38" t="n"/>
      <c r="F384" s="38" t="n"/>
      <c r="G384" s="38" t="n"/>
    </row>
    <row r="385" ht="15.75" customHeight="1" s="42">
      <c r="D385" s="38" t="n"/>
      <c r="F385" s="38" t="n"/>
      <c r="G385" s="38" t="n"/>
    </row>
    <row r="386" ht="15.75" customHeight="1" s="42">
      <c r="D386" s="38" t="n"/>
      <c r="F386" s="38" t="n"/>
      <c r="G386" s="38" t="n"/>
    </row>
    <row r="387" ht="15.75" customHeight="1" s="42">
      <c r="D387" s="38" t="n"/>
      <c r="F387" s="38" t="n"/>
      <c r="G387" s="38" t="n"/>
    </row>
    <row r="388" ht="15.75" customHeight="1" s="42">
      <c r="D388" s="38" t="n"/>
      <c r="F388" s="38" t="n"/>
      <c r="G388" s="38" t="n"/>
    </row>
    <row r="389" ht="15.75" customHeight="1" s="42">
      <c r="D389" s="38" t="n"/>
      <c r="F389" s="38" t="n"/>
      <c r="G389" s="38" t="n"/>
    </row>
    <row r="390" ht="15.75" customHeight="1" s="42">
      <c r="D390" s="38" t="n"/>
      <c r="F390" s="38" t="n"/>
      <c r="G390" s="38" t="n"/>
    </row>
    <row r="391" ht="15.75" customHeight="1" s="42">
      <c r="D391" s="38" t="n"/>
      <c r="F391" s="38" t="n"/>
      <c r="G391" s="38" t="n"/>
    </row>
    <row r="392" ht="15.75" customHeight="1" s="42">
      <c r="D392" s="38" t="n"/>
      <c r="F392" s="38" t="n"/>
      <c r="G392" s="38" t="n"/>
    </row>
    <row r="393" ht="15.75" customHeight="1" s="42">
      <c r="D393" s="38" t="n"/>
      <c r="F393" s="38" t="n"/>
      <c r="G393" s="38" t="n"/>
    </row>
    <row r="394" ht="15.75" customHeight="1" s="42">
      <c r="D394" s="38" t="n"/>
      <c r="F394" s="38" t="n"/>
      <c r="G394" s="38" t="n"/>
    </row>
    <row r="395" ht="15.75" customHeight="1" s="42">
      <c r="D395" s="38" t="n"/>
      <c r="F395" s="38" t="n"/>
      <c r="G395" s="38" t="n"/>
    </row>
    <row r="396" ht="15.75" customHeight="1" s="42">
      <c r="D396" s="38" t="n"/>
      <c r="F396" s="38" t="n"/>
      <c r="G396" s="38" t="n"/>
    </row>
    <row r="397" ht="15.75" customHeight="1" s="42">
      <c r="D397" s="38" t="n"/>
      <c r="F397" s="38" t="n"/>
      <c r="G397" s="38" t="n"/>
    </row>
    <row r="398" ht="15.75" customHeight="1" s="42">
      <c r="D398" s="38" t="n"/>
      <c r="F398" s="38" t="n"/>
      <c r="G398" s="38" t="n"/>
    </row>
    <row r="399" ht="15.75" customHeight="1" s="42">
      <c r="D399" s="38" t="n"/>
      <c r="F399" s="38" t="n"/>
      <c r="G399" s="38" t="n"/>
    </row>
    <row r="400" ht="15.75" customHeight="1" s="42">
      <c r="D400" s="38" t="n"/>
      <c r="F400" s="38" t="n"/>
      <c r="G400" s="38" t="n"/>
    </row>
    <row r="401" ht="15.75" customHeight="1" s="42">
      <c r="D401" s="38" t="n"/>
      <c r="F401" s="38" t="n"/>
      <c r="G401" s="38" t="n"/>
    </row>
    <row r="402" ht="15.75" customHeight="1" s="42">
      <c r="D402" s="38" t="n"/>
      <c r="F402" s="38" t="n"/>
      <c r="G402" s="38" t="n"/>
    </row>
    <row r="403" ht="15.75" customHeight="1" s="42">
      <c r="D403" s="38" t="n"/>
      <c r="F403" s="38" t="n"/>
      <c r="G403" s="38" t="n"/>
    </row>
    <row r="404" ht="15.75" customHeight="1" s="42">
      <c r="D404" s="38" t="n"/>
      <c r="F404" s="38" t="n"/>
      <c r="G404" s="38" t="n"/>
    </row>
    <row r="405" ht="15.75" customHeight="1" s="42">
      <c r="D405" s="38" t="n"/>
      <c r="F405" s="38" t="n"/>
      <c r="G405" s="38" t="n"/>
    </row>
    <row r="406" ht="15.75" customHeight="1" s="42">
      <c r="D406" s="38" t="n"/>
      <c r="F406" s="38" t="n"/>
      <c r="G406" s="38" t="n"/>
    </row>
    <row r="407" ht="15.75" customHeight="1" s="42">
      <c r="D407" s="38" t="n"/>
      <c r="F407" s="38" t="n"/>
      <c r="G407" s="38" t="n"/>
    </row>
    <row r="408" ht="15.75" customHeight="1" s="42">
      <c r="D408" s="38" t="n"/>
      <c r="F408" s="38" t="n"/>
      <c r="G408" s="38" t="n"/>
    </row>
    <row r="409" ht="15.75" customHeight="1" s="42">
      <c r="D409" s="38" t="n"/>
      <c r="F409" s="38" t="n"/>
      <c r="G409" s="38" t="n"/>
    </row>
    <row r="410" ht="15.75" customHeight="1" s="42">
      <c r="D410" s="38" t="n"/>
      <c r="F410" s="38" t="n"/>
      <c r="G410" s="38" t="n"/>
    </row>
    <row r="411" ht="15.75" customHeight="1" s="42">
      <c r="D411" s="38" t="n"/>
      <c r="F411" s="38" t="n"/>
      <c r="G411" s="38" t="n"/>
    </row>
    <row r="412" ht="15.75" customHeight="1" s="42">
      <c r="D412" s="38" t="n"/>
      <c r="F412" s="38" t="n"/>
      <c r="G412" s="38" t="n"/>
    </row>
    <row r="413" ht="15.75" customHeight="1" s="42">
      <c r="D413" s="38" t="n"/>
      <c r="F413" s="38" t="n"/>
      <c r="G413" s="38" t="n"/>
    </row>
    <row r="414" ht="15.75" customHeight="1" s="42">
      <c r="D414" s="38" t="n"/>
      <c r="F414" s="38" t="n"/>
      <c r="G414" s="38" t="n"/>
    </row>
    <row r="415" ht="15.75" customHeight="1" s="42">
      <c r="D415" s="38" t="n"/>
      <c r="F415" s="38" t="n"/>
      <c r="G415" s="38" t="n"/>
    </row>
    <row r="416" ht="15.75" customHeight="1" s="42">
      <c r="D416" s="38" t="n"/>
      <c r="F416" s="38" t="n"/>
      <c r="G416" s="38" t="n"/>
    </row>
    <row r="417" ht="15.75" customHeight="1" s="42">
      <c r="D417" s="38" t="n"/>
      <c r="F417" s="38" t="n"/>
      <c r="G417" s="38" t="n"/>
    </row>
    <row r="418" ht="15.75" customHeight="1" s="42">
      <c r="D418" s="38" t="n"/>
      <c r="F418" s="38" t="n"/>
      <c r="G418" s="38" t="n"/>
    </row>
    <row r="419" ht="15.75" customHeight="1" s="42">
      <c r="D419" s="38" t="n"/>
      <c r="F419" s="38" t="n"/>
      <c r="G419" s="38" t="n"/>
    </row>
    <row r="420" ht="15.75" customHeight="1" s="42">
      <c r="D420" s="38" t="n"/>
      <c r="F420" s="38" t="n"/>
      <c r="G420" s="38" t="n"/>
    </row>
    <row r="421" ht="15.75" customHeight="1" s="42">
      <c r="D421" s="38" t="n"/>
      <c r="F421" s="38" t="n"/>
      <c r="G421" s="38" t="n"/>
    </row>
    <row r="422" ht="15.75" customHeight="1" s="42">
      <c r="D422" s="38" t="n"/>
      <c r="F422" s="38" t="n"/>
      <c r="G422" s="38" t="n"/>
    </row>
    <row r="423" ht="15.75" customHeight="1" s="42">
      <c r="D423" s="38" t="n"/>
      <c r="F423" s="38" t="n"/>
      <c r="G423" s="38" t="n"/>
    </row>
    <row r="424" ht="15.75" customHeight="1" s="42">
      <c r="D424" s="38" t="n"/>
      <c r="F424" s="38" t="n"/>
      <c r="G424" s="38" t="n"/>
    </row>
    <row r="425" ht="15.75" customHeight="1" s="42">
      <c r="D425" s="38" t="n"/>
      <c r="F425" s="38" t="n"/>
      <c r="G425" s="38" t="n"/>
    </row>
    <row r="426" ht="15.75" customHeight="1" s="42">
      <c r="D426" s="38" t="n"/>
      <c r="F426" s="38" t="n"/>
      <c r="G426" s="38" t="n"/>
    </row>
    <row r="427" ht="15.75" customHeight="1" s="42">
      <c r="D427" s="38" t="n"/>
      <c r="F427" s="38" t="n"/>
      <c r="G427" s="38" t="n"/>
    </row>
    <row r="428" ht="15.75" customHeight="1" s="42">
      <c r="D428" s="38" t="n"/>
      <c r="F428" s="38" t="n"/>
      <c r="G428" s="38" t="n"/>
    </row>
    <row r="429" ht="15.75" customHeight="1" s="42">
      <c r="D429" s="38" t="n"/>
      <c r="F429" s="38" t="n"/>
      <c r="G429" s="38" t="n"/>
    </row>
    <row r="430" ht="15.75" customHeight="1" s="42">
      <c r="D430" s="38" t="n"/>
      <c r="F430" s="38" t="n"/>
      <c r="G430" s="38" t="n"/>
    </row>
    <row r="431" ht="15.75" customHeight="1" s="42">
      <c r="D431" s="38" t="n"/>
      <c r="F431" s="38" t="n"/>
      <c r="G431" s="38" t="n"/>
    </row>
    <row r="432" ht="15.75" customHeight="1" s="42">
      <c r="D432" s="38" t="n"/>
      <c r="F432" s="38" t="n"/>
      <c r="G432" s="38" t="n"/>
    </row>
    <row r="433" ht="15.75" customHeight="1" s="42">
      <c r="D433" s="38" t="n"/>
      <c r="F433" s="38" t="n"/>
      <c r="G433" s="38" t="n"/>
    </row>
    <row r="434" ht="15.75" customHeight="1" s="42">
      <c r="D434" s="38" t="n"/>
      <c r="F434" s="38" t="n"/>
      <c r="G434" s="38" t="n"/>
    </row>
    <row r="435" ht="15.75" customHeight="1" s="42">
      <c r="D435" s="38" t="n"/>
      <c r="F435" s="38" t="n"/>
      <c r="G435" s="38" t="n"/>
    </row>
    <row r="436" ht="15.75" customHeight="1" s="42">
      <c r="D436" s="38" t="n"/>
      <c r="F436" s="38" t="n"/>
      <c r="G436" s="38" t="n"/>
    </row>
    <row r="437" ht="15.75" customHeight="1" s="42">
      <c r="D437" s="38" t="n"/>
      <c r="F437" s="38" t="n"/>
      <c r="G437" s="38" t="n"/>
    </row>
    <row r="438" ht="15.75" customHeight="1" s="42">
      <c r="D438" s="38" t="n"/>
      <c r="F438" s="38" t="n"/>
      <c r="G438" s="38" t="n"/>
    </row>
    <row r="439" ht="15.75" customHeight="1" s="42">
      <c r="D439" s="38" t="n"/>
      <c r="F439" s="38" t="n"/>
      <c r="G439" s="38" t="n"/>
    </row>
    <row r="440" ht="15.75" customHeight="1" s="42">
      <c r="D440" s="38" t="n"/>
      <c r="F440" s="38" t="n"/>
      <c r="G440" s="38" t="n"/>
    </row>
    <row r="441" ht="15.75" customHeight="1" s="42">
      <c r="D441" s="38" t="n"/>
      <c r="F441" s="38" t="n"/>
      <c r="G441" s="38" t="n"/>
    </row>
    <row r="442" ht="15.75" customHeight="1" s="42">
      <c r="D442" s="38" t="n"/>
      <c r="F442" s="38" t="n"/>
      <c r="G442" s="38" t="n"/>
    </row>
    <row r="443" ht="15.75" customHeight="1" s="42">
      <c r="D443" s="38" t="n"/>
      <c r="F443" s="38" t="n"/>
      <c r="G443" s="38" t="n"/>
    </row>
    <row r="444" ht="15.75" customHeight="1" s="42">
      <c r="D444" s="38" t="n"/>
      <c r="F444" s="38" t="n"/>
      <c r="G444" s="38" t="n"/>
    </row>
    <row r="445" ht="15.75" customHeight="1" s="42">
      <c r="D445" s="38" t="n"/>
      <c r="F445" s="38" t="n"/>
      <c r="G445" s="38" t="n"/>
    </row>
    <row r="446" ht="15.75" customHeight="1" s="42">
      <c r="D446" s="38" t="n"/>
      <c r="F446" s="38" t="n"/>
      <c r="G446" s="38" t="n"/>
    </row>
    <row r="447" ht="15.75" customHeight="1" s="42">
      <c r="D447" s="38" t="n"/>
      <c r="F447" s="38" t="n"/>
      <c r="G447" s="38" t="n"/>
    </row>
    <row r="448" ht="15.75" customHeight="1" s="42">
      <c r="D448" s="38" t="n"/>
      <c r="F448" s="38" t="n"/>
      <c r="G448" s="38" t="n"/>
    </row>
    <row r="449" ht="15.75" customHeight="1" s="42">
      <c r="D449" s="38" t="n"/>
      <c r="F449" s="38" t="n"/>
      <c r="G449" s="38" t="n"/>
    </row>
    <row r="450" ht="15.75" customHeight="1" s="42">
      <c r="D450" s="38" t="n"/>
      <c r="F450" s="38" t="n"/>
      <c r="G450" s="38" t="n"/>
    </row>
    <row r="451" ht="15.75" customHeight="1" s="42">
      <c r="D451" s="38" t="n"/>
      <c r="F451" s="38" t="n"/>
      <c r="G451" s="38" t="n"/>
    </row>
    <row r="452" ht="15.75" customHeight="1" s="42">
      <c r="D452" s="38" t="n"/>
      <c r="F452" s="38" t="n"/>
      <c r="G452" s="38" t="n"/>
    </row>
    <row r="453" ht="15.75" customHeight="1" s="42">
      <c r="D453" s="38" t="n"/>
      <c r="F453" s="38" t="n"/>
      <c r="G453" s="38" t="n"/>
    </row>
    <row r="454" ht="15.75" customHeight="1" s="42">
      <c r="D454" s="38" t="n"/>
      <c r="F454" s="38" t="n"/>
      <c r="G454" s="38" t="n"/>
    </row>
    <row r="455" ht="15.75" customHeight="1" s="42">
      <c r="D455" s="38" t="n"/>
      <c r="F455" s="38" t="n"/>
      <c r="G455" s="38" t="n"/>
    </row>
    <row r="456" ht="15.75" customHeight="1" s="42">
      <c r="D456" s="38" t="n"/>
      <c r="F456" s="38" t="n"/>
      <c r="G456" s="38" t="n"/>
    </row>
    <row r="457" ht="15.75" customHeight="1" s="42">
      <c r="D457" s="38" t="n"/>
      <c r="F457" s="38" t="n"/>
      <c r="G457" s="38" t="n"/>
    </row>
    <row r="458" ht="15.75" customHeight="1" s="42">
      <c r="D458" s="38" t="n"/>
      <c r="F458" s="38" t="n"/>
      <c r="G458" s="38" t="n"/>
    </row>
    <row r="459" ht="15.75" customHeight="1" s="42">
      <c r="D459" s="38" t="n"/>
      <c r="F459" s="38" t="n"/>
      <c r="G459" s="38" t="n"/>
    </row>
    <row r="460" ht="15.75" customHeight="1" s="42">
      <c r="D460" s="38" t="n"/>
      <c r="F460" s="38" t="n"/>
      <c r="G460" s="38" t="n"/>
    </row>
    <row r="461" ht="15.75" customHeight="1" s="42">
      <c r="D461" s="38" t="n"/>
      <c r="F461" s="38" t="n"/>
      <c r="G461" s="38" t="n"/>
    </row>
    <row r="462" ht="15.75" customHeight="1" s="42">
      <c r="D462" s="38" t="n"/>
      <c r="F462" s="38" t="n"/>
      <c r="G462" s="38" t="n"/>
    </row>
    <row r="463" ht="15.75" customHeight="1" s="42">
      <c r="D463" s="38" t="n"/>
      <c r="F463" s="38" t="n"/>
      <c r="G463" s="38" t="n"/>
    </row>
    <row r="464" ht="15.75" customHeight="1" s="42">
      <c r="D464" s="38" t="n"/>
      <c r="F464" s="38" t="n"/>
      <c r="G464" s="38" t="n"/>
    </row>
    <row r="465" ht="15.75" customHeight="1" s="42">
      <c r="D465" s="38" t="n"/>
      <c r="F465" s="38" t="n"/>
      <c r="G465" s="38" t="n"/>
    </row>
    <row r="466" ht="15.75" customHeight="1" s="42">
      <c r="D466" s="38" t="n"/>
      <c r="F466" s="38" t="n"/>
      <c r="G466" s="38" t="n"/>
    </row>
    <row r="467" ht="15.75" customHeight="1" s="42">
      <c r="D467" s="38" t="n"/>
      <c r="F467" s="38" t="n"/>
      <c r="G467" s="38" t="n"/>
    </row>
    <row r="468" ht="15.75" customHeight="1" s="42">
      <c r="D468" s="38" t="n"/>
      <c r="F468" s="38" t="n"/>
      <c r="G468" s="38" t="n"/>
    </row>
    <row r="469" ht="15.75" customHeight="1" s="42">
      <c r="D469" s="38" t="n"/>
      <c r="F469" s="38" t="n"/>
      <c r="G469" s="38" t="n"/>
    </row>
    <row r="470" ht="15.75" customHeight="1" s="42">
      <c r="D470" s="38" t="n"/>
      <c r="F470" s="38" t="n"/>
      <c r="G470" s="38" t="n"/>
    </row>
    <row r="471" ht="15.75" customHeight="1" s="42">
      <c r="D471" s="38" t="n"/>
      <c r="F471" s="38" t="n"/>
      <c r="G471" s="38" t="n"/>
    </row>
    <row r="472" ht="15.75" customHeight="1" s="42">
      <c r="D472" s="38" t="n"/>
      <c r="F472" s="38" t="n"/>
      <c r="G472" s="38" t="n"/>
    </row>
    <row r="473" ht="15.75" customHeight="1" s="42">
      <c r="D473" s="38" t="n"/>
      <c r="F473" s="38" t="n"/>
      <c r="G473" s="38" t="n"/>
    </row>
    <row r="474" ht="15.75" customHeight="1" s="42">
      <c r="D474" s="38" t="n"/>
      <c r="F474" s="38" t="n"/>
      <c r="G474" s="38" t="n"/>
    </row>
    <row r="475" ht="15.75" customHeight="1" s="42">
      <c r="D475" s="38" t="n"/>
      <c r="F475" s="38" t="n"/>
      <c r="G475" s="38" t="n"/>
    </row>
    <row r="476" ht="15.75" customHeight="1" s="42">
      <c r="D476" s="38" t="n"/>
      <c r="F476" s="38" t="n"/>
      <c r="G476" s="38" t="n"/>
    </row>
    <row r="477" ht="15.75" customHeight="1" s="42">
      <c r="D477" s="38" t="n"/>
      <c r="F477" s="38" t="n"/>
      <c r="G477" s="38" t="n"/>
    </row>
    <row r="478" ht="15.75" customHeight="1" s="42">
      <c r="D478" s="38" t="n"/>
      <c r="F478" s="38" t="n"/>
      <c r="G478" s="38" t="n"/>
    </row>
    <row r="479" ht="15.75" customHeight="1" s="42">
      <c r="D479" s="38" t="n"/>
      <c r="F479" s="38" t="n"/>
      <c r="G479" s="38" t="n"/>
    </row>
    <row r="480" ht="15.75" customHeight="1" s="42">
      <c r="D480" s="38" t="n"/>
      <c r="F480" s="38" t="n"/>
      <c r="G480" s="38" t="n"/>
    </row>
    <row r="481" ht="15.75" customHeight="1" s="42">
      <c r="D481" s="38" t="n"/>
      <c r="F481" s="38" t="n"/>
      <c r="G481" s="38" t="n"/>
    </row>
    <row r="482" ht="15.75" customHeight="1" s="42">
      <c r="D482" s="38" t="n"/>
      <c r="F482" s="38" t="n"/>
      <c r="G482" s="38" t="n"/>
    </row>
    <row r="483" ht="15.75" customHeight="1" s="42">
      <c r="D483" s="38" t="n"/>
      <c r="F483" s="38" t="n"/>
      <c r="G483" s="38" t="n"/>
    </row>
    <row r="484" ht="15.75" customHeight="1" s="42">
      <c r="D484" s="38" t="n"/>
      <c r="F484" s="38" t="n"/>
      <c r="G484" s="38" t="n"/>
    </row>
    <row r="485" ht="15.75" customHeight="1" s="42">
      <c r="D485" s="38" t="n"/>
      <c r="F485" s="38" t="n"/>
      <c r="G485" s="38" t="n"/>
    </row>
    <row r="486" ht="15.75" customHeight="1" s="42">
      <c r="D486" s="38" t="n"/>
      <c r="F486" s="38" t="n"/>
      <c r="G486" s="38" t="n"/>
    </row>
    <row r="487" ht="15.75" customHeight="1" s="42">
      <c r="D487" s="38" t="n"/>
      <c r="F487" s="38" t="n"/>
      <c r="G487" s="38" t="n"/>
    </row>
    <row r="488" ht="15.75" customHeight="1" s="42">
      <c r="D488" s="38" t="n"/>
      <c r="F488" s="38" t="n"/>
      <c r="G488" s="38" t="n"/>
    </row>
    <row r="489" ht="15.75" customHeight="1" s="42">
      <c r="D489" s="38" t="n"/>
      <c r="F489" s="38" t="n"/>
      <c r="G489" s="38" t="n"/>
    </row>
    <row r="490" ht="15.75" customHeight="1" s="42">
      <c r="D490" s="38" t="n"/>
      <c r="F490" s="38" t="n"/>
      <c r="G490" s="38" t="n"/>
    </row>
    <row r="491" ht="15.75" customHeight="1" s="42">
      <c r="D491" s="38" t="n"/>
      <c r="F491" s="38" t="n"/>
      <c r="G491" s="38" t="n"/>
    </row>
    <row r="492" ht="15.75" customHeight="1" s="42">
      <c r="D492" s="38" t="n"/>
      <c r="F492" s="38" t="n"/>
      <c r="G492" s="38" t="n"/>
    </row>
    <row r="493" ht="15.75" customHeight="1" s="42">
      <c r="D493" s="38" t="n"/>
      <c r="F493" s="38" t="n"/>
      <c r="G493" s="38" t="n"/>
    </row>
    <row r="494" ht="15.75" customHeight="1" s="42">
      <c r="D494" s="38" t="n"/>
      <c r="F494" s="38" t="n"/>
      <c r="G494" s="38" t="n"/>
    </row>
    <row r="495" ht="15.75" customHeight="1" s="42">
      <c r="D495" s="38" t="n"/>
      <c r="F495" s="38" t="n"/>
      <c r="G495" s="38" t="n"/>
    </row>
    <row r="496" ht="15.75" customHeight="1" s="42">
      <c r="D496" s="38" t="n"/>
      <c r="F496" s="38" t="n"/>
      <c r="G496" s="38" t="n"/>
    </row>
    <row r="497" ht="15.75" customHeight="1" s="42">
      <c r="D497" s="38" t="n"/>
      <c r="F497" s="38" t="n"/>
      <c r="G497" s="38" t="n"/>
    </row>
    <row r="498" ht="15.75" customHeight="1" s="42">
      <c r="D498" s="38" t="n"/>
      <c r="F498" s="38" t="n"/>
      <c r="G498" s="38" t="n"/>
    </row>
    <row r="499" ht="15.75" customHeight="1" s="42">
      <c r="D499" s="38" t="n"/>
      <c r="F499" s="38" t="n"/>
      <c r="G499" s="38" t="n"/>
    </row>
    <row r="500" ht="15.75" customHeight="1" s="42">
      <c r="D500" s="38" t="n"/>
      <c r="F500" s="38" t="n"/>
      <c r="G500" s="38" t="n"/>
    </row>
    <row r="501" ht="15.75" customHeight="1" s="42">
      <c r="D501" s="38" t="n"/>
      <c r="F501" s="38" t="n"/>
      <c r="G501" s="38" t="n"/>
    </row>
    <row r="502" ht="15.75" customHeight="1" s="42">
      <c r="D502" s="38" t="n"/>
      <c r="F502" s="38" t="n"/>
      <c r="G502" s="38" t="n"/>
    </row>
    <row r="503" ht="15.75" customHeight="1" s="42">
      <c r="D503" s="38" t="n"/>
      <c r="F503" s="38" t="n"/>
      <c r="G503" s="38" t="n"/>
    </row>
    <row r="504" ht="15.75" customHeight="1" s="42">
      <c r="D504" s="38" t="n"/>
      <c r="F504" s="38" t="n"/>
      <c r="G504" s="38" t="n"/>
    </row>
    <row r="505" ht="15.75" customHeight="1" s="42">
      <c r="D505" s="38" t="n"/>
      <c r="F505" s="38" t="n"/>
      <c r="G505" s="38" t="n"/>
    </row>
    <row r="506" ht="15.75" customHeight="1" s="42">
      <c r="D506" s="38" t="n"/>
      <c r="F506" s="38" t="n"/>
      <c r="G506" s="38" t="n"/>
    </row>
    <row r="507" ht="15.75" customHeight="1" s="42">
      <c r="D507" s="38" t="n"/>
      <c r="F507" s="38" t="n"/>
      <c r="G507" s="38" t="n"/>
    </row>
    <row r="508" ht="15.75" customHeight="1" s="42">
      <c r="D508" s="38" t="n"/>
      <c r="F508" s="38" t="n"/>
      <c r="G508" s="38" t="n"/>
    </row>
    <row r="509" ht="15.75" customHeight="1" s="42">
      <c r="D509" s="38" t="n"/>
      <c r="F509" s="38" t="n"/>
      <c r="G509" s="38" t="n"/>
    </row>
    <row r="510" ht="15.75" customHeight="1" s="42">
      <c r="D510" s="38" t="n"/>
      <c r="F510" s="38" t="n"/>
      <c r="G510" s="38" t="n"/>
    </row>
    <row r="511" ht="15.75" customHeight="1" s="42">
      <c r="D511" s="38" t="n"/>
      <c r="F511" s="38" t="n"/>
      <c r="G511" s="38" t="n"/>
    </row>
    <row r="512" ht="15.75" customHeight="1" s="42">
      <c r="D512" s="38" t="n"/>
      <c r="F512" s="38" t="n"/>
      <c r="G512" s="38" t="n"/>
    </row>
    <row r="513" ht="15.75" customHeight="1" s="42">
      <c r="D513" s="38" t="n"/>
      <c r="F513" s="38" t="n"/>
      <c r="G513" s="38" t="n"/>
    </row>
    <row r="514" ht="15.75" customHeight="1" s="42">
      <c r="D514" s="38" t="n"/>
      <c r="F514" s="38" t="n"/>
      <c r="G514" s="38" t="n"/>
    </row>
    <row r="515" ht="15.75" customHeight="1" s="42">
      <c r="D515" s="38" t="n"/>
      <c r="F515" s="38" t="n"/>
      <c r="G515" s="38" t="n"/>
    </row>
    <row r="516" ht="15.75" customHeight="1" s="42">
      <c r="D516" s="38" t="n"/>
      <c r="F516" s="38" t="n"/>
      <c r="G516" s="38" t="n"/>
    </row>
    <row r="517" ht="15.75" customHeight="1" s="42">
      <c r="D517" s="38" t="n"/>
      <c r="F517" s="38" t="n"/>
      <c r="G517" s="38" t="n"/>
    </row>
    <row r="518" ht="15.75" customHeight="1" s="42">
      <c r="D518" s="38" t="n"/>
      <c r="F518" s="38" t="n"/>
      <c r="G518" s="38" t="n"/>
    </row>
    <row r="519" ht="15.75" customHeight="1" s="42">
      <c r="D519" s="38" t="n"/>
      <c r="F519" s="38" t="n"/>
      <c r="G519" s="38" t="n"/>
    </row>
    <row r="520" ht="15.75" customHeight="1" s="42">
      <c r="D520" s="38" t="n"/>
      <c r="F520" s="38" t="n"/>
      <c r="G520" s="38" t="n"/>
    </row>
    <row r="521" ht="15.75" customHeight="1" s="42">
      <c r="D521" s="38" t="n"/>
      <c r="F521" s="38" t="n"/>
      <c r="G521" s="38" t="n"/>
    </row>
    <row r="522" ht="15.75" customHeight="1" s="42">
      <c r="D522" s="38" t="n"/>
      <c r="F522" s="38" t="n"/>
      <c r="G522" s="38" t="n"/>
    </row>
    <row r="523" ht="15.75" customHeight="1" s="42">
      <c r="D523" s="38" t="n"/>
      <c r="F523" s="38" t="n"/>
      <c r="G523" s="38" t="n"/>
    </row>
    <row r="524" ht="15.75" customHeight="1" s="42">
      <c r="D524" s="38" t="n"/>
      <c r="F524" s="38" t="n"/>
      <c r="G524" s="38" t="n"/>
    </row>
    <row r="525" ht="15.75" customHeight="1" s="42">
      <c r="D525" s="38" t="n"/>
      <c r="F525" s="38" t="n"/>
      <c r="G525" s="38" t="n"/>
    </row>
    <row r="526" ht="15.75" customHeight="1" s="42">
      <c r="D526" s="38" t="n"/>
      <c r="F526" s="38" t="n"/>
      <c r="G526" s="38" t="n"/>
    </row>
    <row r="527" ht="15.75" customHeight="1" s="42">
      <c r="D527" s="38" t="n"/>
      <c r="F527" s="38" t="n"/>
      <c r="G527" s="38" t="n"/>
    </row>
    <row r="528" ht="15.75" customHeight="1" s="42">
      <c r="D528" s="38" t="n"/>
      <c r="F528" s="38" t="n"/>
      <c r="G528" s="38" t="n"/>
    </row>
    <row r="529" ht="15.75" customHeight="1" s="42">
      <c r="D529" s="38" t="n"/>
      <c r="F529" s="38" t="n"/>
      <c r="G529" s="38" t="n"/>
    </row>
    <row r="530" ht="15.75" customHeight="1" s="42">
      <c r="D530" s="38" t="n"/>
      <c r="F530" s="38" t="n"/>
      <c r="G530" s="38" t="n"/>
    </row>
    <row r="531" ht="15.75" customHeight="1" s="42">
      <c r="D531" s="38" t="n"/>
      <c r="F531" s="38" t="n"/>
      <c r="G531" s="38" t="n"/>
    </row>
    <row r="532" ht="15.75" customHeight="1" s="42">
      <c r="D532" s="38" t="n"/>
      <c r="F532" s="38" t="n"/>
      <c r="G532" s="38" t="n"/>
    </row>
    <row r="533" ht="15.75" customHeight="1" s="42">
      <c r="D533" s="38" t="n"/>
      <c r="F533" s="38" t="n"/>
      <c r="G533" s="38" t="n"/>
    </row>
    <row r="534" ht="15.75" customHeight="1" s="42">
      <c r="D534" s="38" t="n"/>
      <c r="F534" s="38" t="n"/>
      <c r="G534" s="38" t="n"/>
    </row>
    <row r="535" ht="15.75" customHeight="1" s="42">
      <c r="D535" s="38" t="n"/>
      <c r="F535" s="38" t="n"/>
      <c r="G535" s="38" t="n"/>
    </row>
    <row r="536" ht="15.75" customHeight="1" s="42">
      <c r="D536" s="38" t="n"/>
      <c r="F536" s="38" t="n"/>
      <c r="G536" s="38" t="n"/>
    </row>
    <row r="537" ht="15.75" customHeight="1" s="42">
      <c r="D537" s="38" t="n"/>
      <c r="F537" s="38" t="n"/>
      <c r="G537" s="38" t="n"/>
    </row>
    <row r="538" ht="15.75" customHeight="1" s="42">
      <c r="D538" s="38" t="n"/>
      <c r="F538" s="38" t="n"/>
      <c r="G538" s="38" t="n"/>
    </row>
    <row r="539" ht="15.75" customHeight="1" s="42">
      <c r="D539" s="38" t="n"/>
      <c r="F539" s="38" t="n"/>
      <c r="G539" s="38" t="n"/>
    </row>
    <row r="540" ht="15.75" customHeight="1" s="42">
      <c r="D540" s="38" t="n"/>
      <c r="F540" s="38" t="n"/>
      <c r="G540" s="38" t="n"/>
    </row>
    <row r="541" ht="15.75" customHeight="1" s="42">
      <c r="D541" s="38" t="n"/>
      <c r="F541" s="38" t="n"/>
      <c r="G541" s="38" t="n"/>
    </row>
    <row r="542" ht="15.75" customHeight="1" s="42">
      <c r="D542" s="38" t="n"/>
      <c r="F542" s="38" t="n"/>
      <c r="G542" s="38" t="n"/>
    </row>
    <row r="543" ht="15.75" customHeight="1" s="42">
      <c r="D543" s="38" t="n"/>
      <c r="F543" s="38" t="n"/>
      <c r="G543" s="38" t="n"/>
    </row>
    <row r="544" ht="15.75" customHeight="1" s="42">
      <c r="D544" s="38" t="n"/>
      <c r="F544" s="38" t="n"/>
      <c r="G544" s="38" t="n"/>
    </row>
    <row r="545" ht="15.75" customHeight="1" s="42">
      <c r="D545" s="38" t="n"/>
      <c r="F545" s="38" t="n"/>
      <c r="G545" s="38" t="n"/>
    </row>
    <row r="546" ht="15.75" customHeight="1" s="42">
      <c r="D546" s="38" t="n"/>
      <c r="F546" s="38" t="n"/>
      <c r="G546" s="38" t="n"/>
    </row>
    <row r="547" ht="15.75" customHeight="1" s="42">
      <c r="D547" s="38" t="n"/>
      <c r="F547" s="38" t="n"/>
      <c r="G547" s="38" t="n"/>
    </row>
    <row r="548" ht="15.75" customHeight="1" s="42">
      <c r="D548" s="38" t="n"/>
      <c r="F548" s="38" t="n"/>
      <c r="G548" s="38" t="n"/>
    </row>
    <row r="549" ht="15.75" customHeight="1" s="42">
      <c r="D549" s="38" t="n"/>
      <c r="F549" s="38" t="n"/>
      <c r="G549" s="38" t="n"/>
    </row>
    <row r="550" ht="15.75" customHeight="1" s="42">
      <c r="D550" s="38" t="n"/>
      <c r="F550" s="38" t="n"/>
      <c r="G550" s="38" t="n"/>
    </row>
    <row r="551" ht="15.75" customHeight="1" s="42">
      <c r="D551" s="38" t="n"/>
      <c r="F551" s="38" t="n"/>
      <c r="G551" s="38" t="n"/>
    </row>
    <row r="552" ht="15.75" customHeight="1" s="42">
      <c r="D552" s="38" t="n"/>
      <c r="F552" s="38" t="n"/>
      <c r="G552" s="38" t="n"/>
    </row>
    <row r="553" ht="15.75" customHeight="1" s="42">
      <c r="D553" s="38" t="n"/>
      <c r="F553" s="38" t="n"/>
      <c r="G553" s="38" t="n"/>
    </row>
    <row r="554" ht="15.75" customHeight="1" s="42">
      <c r="D554" s="38" t="n"/>
      <c r="F554" s="38" t="n"/>
      <c r="G554" s="38" t="n"/>
    </row>
    <row r="555" ht="15.75" customHeight="1" s="42">
      <c r="D555" s="38" t="n"/>
      <c r="F555" s="38" t="n"/>
      <c r="G555" s="38" t="n"/>
    </row>
    <row r="556" ht="15.75" customHeight="1" s="42">
      <c r="D556" s="38" t="n"/>
      <c r="F556" s="38" t="n"/>
      <c r="G556" s="38" t="n"/>
    </row>
    <row r="557" ht="15.75" customHeight="1" s="42">
      <c r="D557" s="38" t="n"/>
      <c r="F557" s="38" t="n"/>
      <c r="G557" s="38" t="n"/>
    </row>
    <row r="558" ht="15.75" customHeight="1" s="42">
      <c r="D558" s="38" t="n"/>
      <c r="F558" s="38" t="n"/>
      <c r="G558" s="38" t="n"/>
    </row>
    <row r="559" ht="15.75" customHeight="1" s="42">
      <c r="D559" s="38" t="n"/>
      <c r="F559" s="38" t="n"/>
      <c r="G559" s="38" t="n"/>
    </row>
    <row r="560" ht="15.75" customHeight="1" s="42">
      <c r="D560" s="38" t="n"/>
      <c r="F560" s="38" t="n"/>
      <c r="G560" s="38" t="n"/>
    </row>
    <row r="561" ht="15.75" customHeight="1" s="42">
      <c r="D561" s="38" t="n"/>
      <c r="F561" s="38" t="n"/>
      <c r="G561" s="38" t="n"/>
    </row>
    <row r="562" ht="15.75" customHeight="1" s="42">
      <c r="D562" s="38" t="n"/>
      <c r="F562" s="38" t="n"/>
      <c r="G562" s="38" t="n"/>
    </row>
    <row r="563" ht="15.75" customHeight="1" s="42">
      <c r="D563" s="38" t="n"/>
      <c r="F563" s="38" t="n"/>
      <c r="G563" s="38" t="n"/>
    </row>
    <row r="564" ht="15.75" customHeight="1" s="42">
      <c r="D564" s="38" t="n"/>
      <c r="F564" s="38" t="n"/>
      <c r="G564" s="38" t="n"/>
    </row>
    <row r="565" ht="15.75" customHeight="1" s="42">
      <c r="D565" s="38" t="n"/>
      <c r="F565" s="38" t="n"/>
      <c r="G565" s="38" t="n"/>
    </row>
    <row r="566" ht="15.75" customHeight="1" s="42">
      <c r="D566" s="38" t="n"/>
      <c r="F566" s="38" t="n"/>
      <c r="G566" s="38" t="n"/>
    </row>
    <row r="567" ht="15.75" customHeight="1" s="42">
      <c r="D567" s="38" t="n"/>
      <c r="F567" s="38" t="n"/>
      <c r="G567" s="38" t="n"/>
    </row>
    <row r="568" ht="15.75" customHeight="1" s="42">
      <c r="D568" s="38" t="n"/>
      <c r="F568" s="38" t="n"/>
      <c r="G568" s="38" t="n"/>
    </row>
    <row r="569" ht="15.75" customHeight="1" s="42">
      <c r="D569" s="38" t="n"/>
      <c r="F569" s="38" t="n"/>
      <c r="G569" s="38" t="n"/>
    </row>
    <row r="570" ht="15.75" customHeight="1" s="42">
      <c r="D570" s="38" t="n"/>
      <c r="F570" s="38" t="n"/>
      <c r="G570" s="38" t="n"/>
    </row>
    <row r="571" ht="15.75" customHeight="1" s="42">
      <c r="D571" s="38" t="n"/>
      <c r="F571" s="38" t="n"/>
      <c r="G571" s="38" t="n"/>
    </row>
    <row r="572" ht="15.75" customHeight="1" s="42">
      <c r="D572" s="38" t="n"/>
      <c r="F572" s="38" t="n"/>
      <c r="G572" s="38" t="n"/>
    </row>
    <row r="573" ht="15.75" customHeight="1" s="42">
      <c r="D573" s="38" t="n"/>
      <c r="F573" s="38" t="n"/>
      <c r="G573" s="38" t="n"/>
    </row>
    <row r="574" ht="15.75" customHeight="1" s="42">
      <c r="D574" s="38" t="n"/>
      <c r="F574" s="38" t="n"/>
      <c r="G574" s="38" t="n"/>
    </row>
    <row r="575" ht="15.75" customHeight="1" s="42">
      <c r="D575" s="38" t="n"/>
      <c r="F575" s="38" t="n"/>
      <c r="G575" s="38" t="n"/>
    </row>
    <row r="576" ht="15.75" customHeight="1" s="42">
      <c r="D576" s="38" t="n"/>
      <c r="F576" s="38" t="n"/>
      <c r="G576" s="38" t="n"/>
    </row>
    <row r="577" ht="15.75" customHeight="1" s="42">
      <c r="D577" s="38" t="n"/>
      <c r="F577" s="38" t="n"/>
      <c r="G577" s="38" t="n"/>
    </row>
    <row r="578" ht="15.75" customHeight="1" s="42">
      <c r="D578" s="38" t="n"/>
      <c r="F578" s="38" t="n"/>
      <c r="G578" s="38" t="n"/>
    </row>
    <row r="579" ht="15.75" customHeight="1" s="42">
      <c r="D579" s="38" t="n"/>
      <c r="F579" s="38" t="n"/>
      <c r="G579" s="38" t="n"/>
    </row>
    <row r="580" ht="15.75" customHeight="1" s="42">
      <c r="D580" s="38" t="n"/>
      <c r="F580" s="38" t="n"/>
      <c r="G580" s="38" t="n"/>
    </row>
    <row r="581" ht="15.75" customHeight="1" s="42">
      <c r="D581" s="38" t="n"/>
      <c r="F581" s="38" t="n"/>
      <c r="G581" s="38" t="n"/>
    </row>
    <row r="582" ht="15.75" customHeight="1" s="42">
      <c r="D582" s="38" t="n"/>
      <c r="F582" s="38" t="n"/>
      <c r="G582" s="38" t="n"/>
    </row>
    <row r="583" ht="15.75" customHeight="1" s="42">
      <c r="D583" s="38" t="n"/>
      <c r="F583" s="38" t="n"/>
      <c r="G583" s="38" t="n"/>
    </row>
    <row r="584" ht="15.75" customHeight="1" s="42">
      <c r="D584" s="38" t="n"/>
      <c r="F584" s="38" t="n"/>
      <c r="G584" s="38" t="n"/>
    </row>
    <row r="585" ht="15.75" customHeight="1" s="42">
      <c r="D585" s="38" t="n"/>
      <c r="F585" s="38" t="n"/>
      <c r="G585" s="38" t="n"/>
    </row>
    <row r="586" ht="15.75" customHeight="1" s="42">
      <c r="D586" s="38" t="n"/>
      <c r="F586" s="38" t="n"/>
      <c r="G586" s="38" t="n"/>
    </row>
    <row r="587" ht="15.75" customHeight="1" s="42">
      <c r="D587" s="38" t="n"/>
      <c r="F587" s="38" t="n"/>
      <c r="G587" s="38" t="n"/>
    </row>
    <row r="588" ht="15.75" customHeight="1" s="42">
      <c r="D588" s="38" t="n"/>
      <c r="F588" s="38" t="n"/>
      <c r="G588" s="38" t="n"/>
    </row>
    <row r="589" ht="15.75" customHeight="1" s="42">
      <c r="D589" s="38" t="n"/>
      <c r="F589" s="38" t="n"/>
      <c r="G589" s="38" t="n"/>
    </row>
    <row r="590" ht="15.75" customHeight="1" s="42">
      <c r="D590" s="38" t="n"/>
      <c r="F590" s="38" t="n"/>
      <c r="G590" s="38" t="n"/>
    </row>
    <row r="591" ht="15.75" customHeight="1" s="42">
      <c r="D591" s="38" t="n"/>
      <c r="F591" s="38" t="n"/>
      <c r="G591" s="38" t="n"/>
    </row>
    <row r="592" ht="15.75" customHeight="1" s="42">
      <c r="D592" s="38" t="n"/>
      <c r="F592" s="38" t="n"/>
      <c r="G592" s="38" t="n"/>
    </row>
    <row r="593" ht="15.75" customHeight="1" s="42">
      <c r="D593" s="38" t="n"/>
      <c r="F593" s="38" t="n"/>
      <c r="G593" s="38" t="n"/>
    </row>
    <row r="594" ht="15.75" customHeight="1" s="42">
      <c r="D594" s="38" t="n"/>
      <c r="F594" s="38" t="n"/>
      <c r="G594" s="38" t="n"/>
    </row>
    <row r="595" ht="15.75" customHeight="1" s="42">
      <c r="D595" s="38" t="n"/>
      <c r="F595" s="38" t="n"/>
      <c r="G595" s="38" t="n"/>
    </row>
    <row r="596" ht="15.75" customHeight="1" s="42">
      <c r="D596" s="38" t="n"/>
      <c r="F596" s="38" t="n"/>
      <c r="G596" s="38" t="n"/>
    </row>
    <row r="597" ht="15.75" customHeight="1" s="42">
      <c r="D597" s="38" t="n"/>
      <c r="F597" s="38" t="n"/>
      <c r="G597" s="38" t="n"/>
    </row>
    <row r="598" ht="15.75" customHeight="1" s="42">
      <c r="D598" s="38" t="n"/>
      <c r="F598" s="38" t="n"/>
      <c r="G598" s="38" t="n"/>
    </row>
    <row r="599" ht="15.75" customHeight="1" s="42">
      <c r="D599" s="38" t="n"/>
      <c r="F599" s="38" t="n"/>
      <c r="G599" s="38" t="n"/>
    </row>
    <row r="600" ht="15.75" customHeight="1" s="42">
      <c r="D600" s="38" t="n"/>
      <c r="F600" s="38" t="n"/>
      <c r="G600" s="38" t="n"/>
    </row>
    <row r="601" ht="15.75" customHeight="1" s="42">
      <c r="D601" s="38" t="n"/>
      <c r="F601" s="38" t="n"/>
      <c r="G601" s="38" t="n"/>
    </row>
    <row r="602" ht="15.75" customHeight="1" s="42">
      <c r="D602" s="38" t="n"/>
      <c r="F602" s="38" t="n"/>
      <c r="G602" s="38" t="n"/>
    </row>
    <row r="603" ht="15.75" customHeight="1" s="42">
      <c r="D603" s="38" t="n"/>
      <c r="F603" s="38" t="n"/>
      <c r="G603" s="38" t="n"/>
    </row>
    <row r="604" ht="15.75" customHeight="1" s="42">
      <c r="D604" s="38" t="n"/>
      <c r="F604" s="38" t="n"/>
      <c r="G604" s="38" t="n"/>
    </row>
    <row r="605" ht="15.75" customHeight="1" s="42">
      <c r="D605" s="38" t="n"/>
      <c r="F605" s="38" t="n"/>
      <c r="G605" s="38" t="n"/>
    </row>
    <row r="606" ht="15.75" customHeight="1" s="42">
      <c r="D606" s="38" t="n"/>
      <c r="F606" s="38" t="n"/>
      <c r="G606" s="38" t="n"/>
    </row>
    <row r="607" ht="15.75" customHeight="1" s="42">
      <c r="D607" s="38" t="n"/>
      <c r="F607" s="38" t="n"/>
      <c r="G607" s="38" t="n"/>
    </row>
    <row r="608" ht="15.75" customHeight="1" s="42">
      <c r="D608" s="38" t="n"/>
      <c r="F608" s="38" t="n"/>
      <c r="G608" s="38" t="n"/>
    </row>
    <row r="609" ht="15.75" customHeight="1" s="42">
      <c r="D609" s="38" t="n"/>
      <c r="F609" s="38" t="n"/>
      <c r="G609" s="38" t="n"/>
    </row>
    <row r="610" ht="15.75" customHeight="1" s="42">
      <c r="D610" s="38" t="n"/>
      <c r="F610" s="38" t="n"/>
      <c r="G610" s="38" t="n"/>
    </row>
    <row r="611" ht="15.75" customHeight="1" s="42">
      <c r="D611" s="38" t="n"/>
      <c r="F611" s="38" t="n"/>
      <c r="G611" s="38" t="n"/>
    </row>
    <row r="612" ht="15.75" customHeight="1" s="42">
      <c r="D612" s="38" t="n"/>
      <c r="F612" s="38" t="n"/>
      <c r="G612" s="38" t="n"/>
    </row>
    <row r="613" ht="15.75" customHeight="1" s="42">
      <c r="D613" s="38" t="n"/>
      <c r="F613" s="38" t="n"/>
      <c r="G613" s="38" t="n"/>
    </row>
    <row r="614" ht="15.75" customHeight="1" s="42">
      <c r="D614" s="38" t="n"/>
      <c r="F614" s="38" t="n"/>
      <c r="G614" s="38" t="n"/>
    </row>
    <row r="615" ht="15.75" customHeight="1" s="42">
      <c r="D615" s="38" t="n"/>
      <c r="F615" s="38" t="n"/>
      <c r="G615" s="38" t="n"/>
    </row>
    <row r="616" ht="15.75" customHeight="1" s="42">
      <c r="D616" s="38" t="n"/>
      <c r="F616" s="38" t="n"/>
      <c r="G616" s="38" t="n"/>
    </row>
    <row r="617" ht="15.75" customHeight="1" s="42">
      <c r="D617" s="38" t="n"/>
      <c r="F617" s="38" t="n"/>
      <c r="G617" s="38" t="n"/>
    </row>
    <row r="618" ht="15.75" customHeight="1" s="42">
      <c r="D618" s="38" t="n"/>
      <c r="F618" s="38" t="n"/>
      <c r="G618" s="38" t="n"/>
    </row>
    <row r="619" ht="15.75" customHeight="1" s="42">
      <c r="D619" s="38" t="n"/>
      <c r="F619" s="38" t="n"/>
      <c r="G619" s="38" t="n"/>
    </row>
    <row r="620" ht="15.75" customHeight="1" s="42">
      <c r="D620" s="38" t="n"/>
      <c r="F620" s="38" t="n"/>
      <c r="G620" s="38" t="n"/>
    </row>
    <row r="621" ht="15.75" customHeight="1" s="42">
      <c r="D621" s="38" t="n"/>
      <c r="F621" s="38" t="n"/>
      <c r="G621" s="38" t="n"/>
    </row>
    <row r="622" ht="15.75" customHeight="1" s="42">
      <c r="D622" s="38" t="n"/>
      <c r="F622" s="38" t="n"/>
      <c r="G622" s="38" t="n"/>
    </row>
    <row r="623" ht="15.75" customHeight="1" s="42">
      <c r="D623" s="38" t="n"/>
      <c r="F623" s="38" t="n"/>
      <c r="G623" s="38" t="n"/>
    </row>
    <row r="624" ht="15.75" customHeight="1" s="42">
      <c r="D624" s="38" t="n"/>
      <c r="F624" s="38" t="n"/>
      <c r="G624" s="38" t="n"/>
    </row>
    <row r="625" ht="15.75" customHeight="1" s="42">
      <c r="D625" s="38" t="n"/>
      <c r="F625" s="38" t="n"/>
      <c r="G625" s="38" t="n"/>
    </row>
    <row r="626" ht="15.75" customHeight="1" s="42">
      <c r="D626" s="38" t="n"/>
      <c r="F626" s="38" t="n"/>
      <c r="G626" s="38" t="n"/>
    </row>
    <row r="627" ht="15.75" customHeight="1" s="42">
      <c r="D627" s="38" t="n"/>
      <c r="F627" s="38" t="n"/>
      <c r="G627" s="38" t="n"/>
    </row>
    <row r="628" ht="15.75" customHeight="1" s="42">
      <c r="D628" s="38" t="n"/>
      <c r="F628" s="38" t="n"/>
      <c r="G628" s="38" t="n"/>
    </row>
    <row r="629" ht="15.75" customHeight="1" s="42">
      <c r="D629" s="38" t="n"/>
      <c r="F629" s="38" t="n"/>
      <c r="G629" s="38" t="n"/>
    </row>
    <row r="630" ht="15.75" customHeight="1" s="42">
      <c r="D630" s="38" t="n"/>
      <c r="F630" s="38" t="n"/>
      <c r="G630" s="38" t="n"/>
    </row>
    <row r="631" ht="15.75" customHeight="1" s="42">
      <c r="D631" s="38" t="n"/>
      <c r="F631" s="38" t="n"/>
      <c r="G631" s="38" t="n"/>
    </row>
    <row r="632" ht="15.75" customHeight="1" s="42">
      <c r="D632" s="38" t="n"/>
      <c r="F632" s="38" t="n"/>
      <c r="G632" s="38" t="n"/>
    </row>
    <row r="633" ht="15.75" customHeight="1" s="42">
      <c r="D633" s="38" t="n"/>
      <c r="F633" s="38" t="n"/>
      <c r="G633" s="38" t="n"/>
    </row>
    <row r="634" ht="15.75" customHeight="1" s="42">
      <c r="D634" s="38" t="n"/>
      <c r="F634" s="38" t="n"/>
      <c r="G634" s="38" t="n"/>
    </row>
    <row r="635" ht="15.75" customHeight="1" s="42">
      <c r="D635" s="38" t="n"/>
      <c r="F635" s="38" t="n"/>
      <c r="G635" s="38" t="n"/>
    </row>
    <row r="636" ht="15.75" customHeight="1" s="42">
      <c r="D636" s="38" t="n"/>
      <c r="F636" s="38" t="n"/>
      <c r="G636" s="38" t="n"/>
    </row>
    <row r="637" ht="15.75" customHeight="1" s="42">
      <c r="D637" s="38" t="n"/>
      <c r="F637" s="38" t="n"/>
      <c r="G637" s="38" t="n"/>
    </row>
    <row r="638" ht="15.75" customHeight="1" s="42">
      <c r="D638" s="38" t="n"/>
      <c r="F638" s="38" t="n"/>
      <c r="G638" s="38" t="n"/>
    </row>
    <row r="639" ht="15.75" customHeight="1" s="42">
      <c r="D639" s="38" t="n"/>
      <c r="F639" s="38" t="n"/>
      <c r="G639" s="38" t="n"/>
    </row>
    <row r="640" ht="15.75" customHeight="1" s="42">
      <c r="D640" s="38" t="n"/>
      <c r="F640" s="38" t="n"/>
      <c r="G640" s="38" t="n"/>
    </row>
    <row r="641" ht="15.75" customHeight="1" s="42">
      <c r="D641" s="38" t="n"/>
      <c r="F641" s="38" t="n"/>
      <c r="G641" s="38" t="n"/>
    </row>
    <row r="642" ht="15.75" customHeight="1" s="42">
      <c r="D642" s="38" t="n"/>
      <c r="F642" s="38" t="n"/>
      <c r="G642" s="38" t="n"/>
    </row>
    <row r="643" ht="15.75" customHeight="1" s="42">
      <c r="D643" s="38" t="n"/>
      <c r="F643" s="38" t="n"/>
      <c r="G643" s="38" t="n"/>
    </row>
    <row r="644" ht="15.75" customHeight="1" s="42">
      <c r="D644" s="38" t="n"/>
      <c r="F644" s="38" t="n"/>
      <c r="G644" s="38" t="n"/>
    </row>
    <row r="645" ht="15.75" customHeight="1" s="42">
      <c r="D645" s="38" t="n"/>
      <c r="F645" s="38" t="n"/>
      <c r="G645" s="38" t="n"/>
    </row>
    <row r="646" ht="15.75" customHeight="1" s="42">
      <c r="D646" s="38" t="n"/>
      <c r="F646" s="38" t="n"/>
      <c r="G646" s="38" t="n"/>
    </row>
    <row r="647" ht="15.75" customHeight="1" s="42">
      <c r="D647" s="38" t="n"/>
      <c r="F647" s="38" t="n"/>
      <c r="G647" s="38" t="n"/>
    </row>
    <row r="648" ht="15.75" customHeight="1" s="42">
      <c r="D648" s="38" t="n"/>
      <c r="F648" s="38" t="n"/>
      <c r="G648" s="38" t="n"/>
    </row>
    <row r="649" ht="15.75" customHeight="1" s="42">
      <c r="D649" s="38" t="n"/>
      <c r="F649" s="38" t="n"/>
      <c r="G649" s="38" t="n"/>
    </row>
    <row r="650" ht="15.75" customHeight="1" s="42">
      <c r="D650" s="38" t="n"/>
      <c r="F650" s="38" t="n"/>
      <c r="G650" s="38" t="n"/>
    </row>
    <row r="651" ht="15.75" customHeight="1" s="42">
      <c r="D651" s="38" t="n"/>
      <c r="F651" s="38" t="n"/>
      <c r="G651" s="38" t="n"/>
    </row>
    <row r="652" ht="15.75" customHeight="1" s="42">
      <c r="D652" s="38" t="n"/>
      <c r="F652" s="38" t="n"/>
      <c r="G652" s="38" t="n"/>
    </row>
    <row r="653" ht="15.75" customHeight="1" s="42">
      <c r="D653" s="38" t="n"/>
      <c r="F653" s="38" t="n"/>
      <c r="G653" s="38" t="n"/>
    </row>
    <row r="654" ht="15.75" customHeight="1" s="42">
      <c r="D654" s="38" t="n"/>
      <c r="F654" s="38" t="n"/>
      <c r="G654" s="38" t="n"/>
    </row>
    <row r="655" ht="15.75" customHeight="1" s="42">
      <c r="D655" s="38" t="n"/>
      <c r="F655" s="38" t="n"/>
      <c r="G655" s="38" t="n"/>
    </row>
    <row r="656" ht="15.75" customHeight="1" s="42">
      <c r="D656" s="38" t="n"/>
      <c r="F656" s="38" t="n"/>
      <c r="G656" s="38" t="n"/>
    </row>
    <row r="657" ht="15.75" customHeight="1" s="42">
      <c r="D657" s="38" t="n"/>
      <c r="F657" s="38" t="n"/>
      <c r="G657" s="38" t="n"/>
    </row>
    <row r="658" ht="15.75" customHeight="1" s="42">
      <c r="D658" s="38" t="n"/>
      <c r="F658" s="38" t="n"/>
      <c r="G658" s="38" t="n"/>
    </row>
    <row r="659" ht="15.75" customHeight="1" s="42">
      <c r="D659" s="38" t="n"/>
      <c r="F659" s="38" t="n"/>
      <c r="G659" s="38" t="n"/>
    </row>
    <row r="660" ht="15.75" customHeight="1" s="42">
      <c r="D660" s="38" t="n"/>
      <c r="F660" s="38" t="n"/>
      <c r="G660" s="38" t="n"/>
    </row>
    <row r="661" ht="15.75" customHeight="1" s="42">
      <c r="D661" s="38" t="n"/>
      <c r="F661" s="38" t="n"/>
      <c r="G661" s="38" t="n"/>
    </row>
    <row r="662" ht="15.75" customHeight="1" s="42">
      <c r="D662" s="38" t="n"/>
      <c r="F662" s="38" t="n"/>
      <c r="G662" s="38" t="n"/>
    </row>
    <row r="663" ht="15.75" customHeight="1" s="42">
      <c r="D663" s="38" t="n"/>
      <c r="F663" s="38" t="n"/>
      <c r="G663" s="38" t="n"/>
    </row>
    <row r="664" ht="15.75" customHeight="1" s="42">
      <c r="D664" s="38" t="n"/>
      <c r="F664" s="38" t="n"/>
      <c r="G664" s="38" t="n"/>
    </row>
    <row r="665" ht="15.75" customHeight="1" s="42">
      <c r="D665" s="38" t="n"/>
      <c r="F665" s="38" t="n"/>
      <c r="G665" s="38" t="n"/>
    </row>
    <row r="666" ht="15.75" customHeight="1" s="42">
      <c r="D666" s="38" t="n"/>
      <c r="F666" s="38" t="n"/>
      <c r="G666" s="38" t="n"/>
    </row>
    <row r="667" ht="15.75" customHeight="1" s="42">
      <c r="D667" s="38" t="n"/>
      <c r="F667" s="38" t="n"/>
      <c r="G667" s="38" t="n"/>
    </row>
    <row r="668" ht="15.75" customHeight="1" s="42">
      <c r="D668" s="38" t="n"/>
      <c r="F668" s="38" t="n"/>
      <c r="G668" s="38" t="n"/>
    </row>
    <row r="669" ht="15.75" customHeight="1" s="42">
      <c r="D669" s="38" t="n"/>
      <c r="F669" s="38" t="n"/>
      <c r="G669" s="38" t="n"/>
    </row>
    <row r="670" ht="15.75" customHeight="1" s="42">
      <c r="D670" s="38" t="n"/>
      <c r="F670" s="38" t="n"/>
      <c r="G670" s="38" t="n"/>
    </row>
    <row r="671" ht="15.75" customHeight="1" s="42">
      <c r="D671" s="38" t="n"/>
      <c r="F671" s="38" t="n"/>
      <c r="G671" s="38" t="n"/>
    </row>
    <row r="672" ht="15.75" customHeight="1" s="42">
      <c r="D672" s="38" t="n"/>
      <c r="F672" s="38" t="n"/>
      <c r="G672" s="38" t="n"/>
    </row>
    <row r="673" ht="15.75" customHeight="1" s="42">
      <c r="D673" s="38" t="n"/>
      <c r="F673" s="38" t="n"/>
      <c r="G673" s="38" t="n"/>
    </row>
    <row r="674" ht="15.75" customHeight="1" s="42">
      <c r="D674" s="38" t="n"/>
      <c r="F674" s="38" t="n"/>
      <c r="G674" s="38" t="n"/>
    </row>
    <row r="675" ht="15.75" customHeight="1" s="42">
      <c r="D675" s="38" t="n"/>
      <c r="F675" s="38" t="n"/>
      <c r="G675" s="38" t="n"/>
    </row>
    <row r="676" ht="15.75" customHeight="1" s="42">
      <c r="D676" s="38" t="n"/>
      <c r="F676" s="38" t="n"/>
      <c r="G676" s="38" t="n"/>
    </row>
    <row r="677" ht="15.75" customHeight="1" s="42">
      <c r="D677" s="38" t="n"/>
      <c r="F677" s="38" t="n"/>
      <c r="G677" s="38" t="n"/>
    </row>
    <row r="678" ht="15.75" customHeight="1" s="42">
      <c r="D678" s="38" t="n"/>
      <c r="F678" s="38" t="n"/>
      <c r="G678" s="38" t="n"/>
    </row>
    <row r="679" ht="15.75" customHeight="1" s="42">
      <c r="D679" s="38" t="n"/>
      <c r="F679" s="38" t="n"/>
      <c r="G679" s="38" t="n"/>
    </row>
    <row r="680" ht="15.75" customHeight="1" s="42">
      <c r="D680" s="38" t="n"/>
      <c r="F680" s="38" t="n"/>
      <c r="G680" s="38" t="n"/>
    </row>
    <row r="681" ht="15.75" customHeight="1" s="42">
      <c r="D681" s="38" t="n"/>
      <c r="F681" s="38" t="n"/>
      <c r="G681" s="38" t="n"/>
    </row>
    <row r="682" ht="15.75" customHeight="1" s="42">
      <c r="D682" s="38" t="n"/>
      <c r="F682" s="38" t="n"/>
      <c r="G682" s="38" t="n"/>
    </row>
    <row r="683" ht="15.75" customHeight="1" s="42">
      <c r="D683" s="38" t="n"/>
      <c r="F683" s="38" t="n"/>
      <c r="G683" s="38" t="n"/>
    </row>
    <row r="684" ht="15.75" customHeight="1" s="42">
      <c r="D684" s="38" t="n"/>
      <c r="F684" s="38" t="n"/>
      <c r="G684" s="38" t="n"/>
    </row>
    <row r="685" ht="15.75" customHeight="1" s="42">
      <c r="D685" s="38" t="n"/>
      <c r="F685" s="38" t="n"/>
      <c r="G685" s="38" t="n"/>
    </row>
    <row r="686" ht="15.75" customHeight="1" s="42">
      <c r="D686" s="38" t="n"/>
      <c r="F686" s="38" t="n"/>
      <c r="G686" s="38" t="n"/>
    </row>
    <row r="687" ht="15.75" customHeight="1" s="42">
      <c r="D687" s="38" t="n"/>
      <c r="F687" s="38" t="n"/>
      <c r="G687" s="38" t="n"/>
    </row>
    <row r="688" ht="15.75" customHeight="1" s="42">
      <c r="D688" s="38" t="n"/>
      <c r="F688" s="38" t="n"/>
      <c r="G688" s="38" t="n"/>
    </row>
    <row r="689" ht="15.75" customHeight="1" s="42">
      <c r="D689" s="38" t="n"/>
      <c r="F689" s="38" t="n"/>
      <c r="G689" s="38" t="n"/>
    </row>
    <row r="690" ht="15.75" customHeight="1" s="42">
      <c r="D690" s="38" t="n"/>
      <c r="F690" s="38" t="n"/>
      <c r="G690" s="38" t="n"/>
    </row>
    <row r="691" ht="15.75" customHeight="1" s="42">
      <c r="D691" s="38" t="n"/>
      <c r="F691" s="38" t="n"/>
      <c r="G691" s="38" t="n"/>
    </row>
    <row r="692" ht="15.75" customHeight="1" s="42">
      <c r="D692" s="38" t="n"/>
      <c r="F692" s="38" t="n"/>
      <c r="G692" s="38" t="n"/>
    </row>
    <row r="693" ht="15.75" customHeight="1" s="42">
      <c r="D693" s="38" t="n"/>
      <c r="F693" s="38" t="n"/>
      <c r="G693" s="38" t="n"/>
    </row>
    <row r="694" ht="15.75" customHeight="1" s="42">
      <c r="D694" s="38" t="n"/>
      <c r="F694" s="38" t="n"/>
      <c r="G694" s="38" t="n"/>
    </row>
    <row r="695" ht="15.75" customHeight="1" s="42">
      <c r="D695" s="38" t="n"/>
      <c r="F695" s="38" t="n"/>
      <c r="G695" s="38" t="n"/>
    </row>
    <row r="696" ht="15.75" customHeight="1" s="42">
      <c r="D696" s="38" t="n"/>
      <c r="F696" s="38" t="n"/>
      <c r="G696" s="38" t="n"/>
    </row>
    <row r="697" ht="15.75" customHeight="1" s="42">
      <c r="D697" s="38" t="n"/>
      <c r="F697" s="38" t="n"/>
      <c r="G697" s="38" t="n"/>
    </row>
    <row r="698" ht="15.75" customHeight="1" s="42">
      <c r="D698" s="38" t="n"/>
      <c r="F698" s="38" t="n"/>
      <c r="G698" s="38" t="n"/>
    </row>
    <row r="699" ht="15.75" customHeight="1" s="42">
      <c r="D699" s="38" t="n"/>
      <c r="F699" s="38" t="n"/>
      <c r="G699" s="38" t="n"/>
    </row>
    <row r="700" ht="15.75" customHeight="1" s="42">
      <c r="D700" s="38" t="n"/>
      <c r="F700" s="38" t="n"/>
      <c r="G700" s="38" t="n"/>
    </row>
    <row r="701" ht="15.75" customHeight="1" s="42">
      <c r="D701" s="38" t="n"/>
      <c r="F701" s="38" t="n"/>
      <c r="G701" s="38" t="n"/>
    </row>
    <row r="702" ht="15.75" customHeight="1" s="42">
      <c r="D702" s="38" t="n"/>
      <c r="F702" s="38" t="n"/>
      <c r="G702" s="38" t="n"/>
    </row>
    <row r="703" ht="15.75" customHeight="1" s="42">
      <c r="D703" s="38" t="n"/>
      <c r="F703" s="38" t="n"/>
      <c r="G703" s="38" t="n"/>
    </row>
    <row r="704" ht="15.75" customHeight="1" s="42">
      <c r="D704" s="38" t="n"/>
      <c r="F704" s="38" t="n"/>
      <c r="G704" s="38" t="n"/>
    </row>
    <row r="705" ht="15.75" customHeight="1" s="42">
      <c r="D705" s="38" t="n"/>
      <c r="F705" s="38" t="n"/>
      <c r="G705" s="38" t="n"/>
    </row>
    <row r="706" ht="15.75" customHeight="1" s="42">
      <c r="D706" s="38" t="n"/>
      <c r="F706" s="38" t="n"/>
      <c r="G706" s="38" t="n"/>
    </row>
    <row r="707" ht="15.75" customHeight="1" s="42">
      <c r="D707" s="38" t="n"/>
      <c r="F707" s="38" t="n"/>
      <c r="G707" s="38" t="n"/>
    </row>
    <row r="708" ht="15.75" customHeight="1" s="42">
      <c r="D708" s="38" t="n"/>
      <c r="F708" s="38" t="n"/>
      <c r="G708" s="38" t="n"/>
    </row>
    <row r="709" ht="15.75" customHeight="1" s="42">
      <c r="D709" s="38" t="n"/>
      <c r="F709" s="38" t="n"/>
      <c r="G709" s="38" t="n"/>
    </row>
    <row r="710" ht="15.75" customHeight="1" s="42">
      <c r="D710" s="38" t="n"/>
      <c r="F710" s="38" t="n"/>
      <c r="G710" s="38" t="n"/>
    </row>
    <row r="711" ht="15.75" customHeight="1" s="42">
      <c r="D711" s="38" t="n"/>
      <c r="F711" s="38" t="n"/>
      <c r="G711" s="38" t="n"/>
    </row>
    <row r="712" ht="15.75" customHeight="1" s="42">
      <c r="D712" s="38" t="n"/>
      <c r="F712" s="38" t="n"/>
      <c r="G712" s="38" t="n"/>
    </row>
    <row r="713" ht="15.75" customHeight="1" s="42">
      <c r="D713" s="38" t="n"/>
      <c r="F713" s="38" t="n"/>
      <c r="G713" s="38" t="n"/>
    </row>
    <row r="714" ht="15.75" customHeight="1" s="42">
      <c r="D714" s="38" t="n"/>
      <c r="F714" s="38" t="n"/>
      <c r="G714" s="38" t="n"/>
    </row>
    <row r="715" ht="15.75" customHeight="1" s="42">
      <c r="D715" s="38" t="n"/>
      <c r="F715" s="38" t="n"/>
      <c r="G715" s="38" t="n"/>
    </row>
    <row r="716" ht="15.75" customHeight="1" s="42">
      <c r="D716" s="38" t="n"/>
      <c r="F716" s="38" t="n"/>
      <c r="G716" s="38" t="n"/>
    </row>
    <row r="717" ht="15.75" customHeight="1" s="42">
      <c r="D717" s="38" t="n"/>
      <c r="F717" s="38" t="n"/>
      <c r="G717" s="38" t="n"/>
    </row>
    <row r="718" ht="15.75" customHeight="1" s="42">
      <c r="D718" s="38" t="n"/>
      <c r="F718" s="38" t="n"/>
      <c r="G718" s="38" t="n"/>
    </row>
    <row r="719" ht="15.75" customHeight="1" s="42">
      <c r="D719" s="38" t="n"/>
      <c r="F719" s="38" t="n"/>
      <c r="G719" s="38" t="n"/>
    </row>
    <row r="720" ht="15.75" customHeight="1" s="42">
      <c r="D720" s="38" t="n"/>
      <c r="F720" s="38" t="n"/>
      <c r="G720" s="38" t="n"/>
    </row>
    <row r="721" ht="15.75" customHeight="1" s="42">
      <c r="D721" s="38" t="n"/>
      <c r="F721" s="38" t="n"/>
      <c r="G721" s="38" t="n"/>
    </row>
    <row r="722" ht="15.75" customHeight="1" s="42">
      <c r="D722" s="38" t="n"/>
      <c r="F722" s="38" t="n"/>
      <c r="G722" s="38" t="n"/>
    </row>
    <row r="723" ht="15.75" customHeight="1" s="42">
      <c r="D723" s="38" t="n"/>
      <c r="F723" s="38" t="n"/>
      <c r="G723" s="38" t="n"/>
    </row>
    <row r="724" ht="15.75" customHeight="1" s="42">
      <c r="D724" s="38" t="n"/>
      <c r="F724" s="38" t="n"/>
      <c r="G724" s="38" t="n"/>
    </row>
    <row r="725" ht="15.75" customHeight="1" s="42">
      <c r="D725" s="38" t="n"/>
      <c r="F725" s="38" t="n"/>
      <c r="G725" s="38" t="n"/>
    </row>
    <row r="726" ht="15.75" customHeight="1" s="42">
      <c r="D726" s="38" t="n"/>
      <c r="F726" s="38" t="n"/>
      <c r="G726" s="38" t="n"/>
    </row>
    <row r="727" ht="15.75" customHeight="1" s="42">
      <c r="D727" s="38" t="n"/>
      <c r="F727" s="38" t="n"/>
      <c r="G727" s="38" t="n"/>
    </row>
    <row r="728" ht="15.75" customHeight="1" s="42">
      <c r="D728" s="38" t="n"/>
      <c r="F728" s="38" t="n"/>
      <c r="G728" s="38" t="n"/>
    </row>
    <row r="729" ht="15.75" customHeight="1" s="42">
      <c r="D729" s="38" t="n"/>
      <c r="F729" s="38" t="n"/>
      <c r="G729" s="38" t="n"/>
    </row>
    <row r="730" ht="15.75" customHeight="1" s="42">
      <c r="D730" s="38" t="n"/>
      <c r="F730" s="38" t="n"/>
      <c r="G730" s="38" t="n"/>
    </row>
    <row r="731" ht="15.75" customHeight="1" s="42">
      <c r="D731" s="38" t="n"/>
      <c r="F731" s="38" t="n"/>
      <c r="G731" s="38" t="n"/>
    </row>
    <row r="732" ht="15.75" customHeight="1" s="42">
      <c r="D732" s="38" t="n"/>
      <c r="F732" s="38" t="n"/>
      <c r="G732" s="38" t="n"/>
    </row>
    <row r="733" ht="15.75" customHeight="1" s="42">
      <c r="D733" s="38" t="n"/>
      <c r="F733" s="38" t="n"/>
      <c r="G733" s="38" t="n"/>
    </row>
    <row r="734" ht="15.75" customHeight="1" s="42">
      <c r="D734" s="38" t="n"/>
      <c r="F734" s="38" t="n"/>
      <c r="G734" s="38" t="n"/>
    </row>
    <row r="735" ht="15.75" customHeight="1" s="42">
      <c r="D735" s="38" t="n"/>
      <c r="F735" s="38" t="n"/>
      <c r="G735" s="38" t="n"/>
    </row>
    <row r="736" ht="15.75" customHeight="1" s="42">
      <c r="D736" s="38" t="n"/>
      <c r="F736" s="38" t="n"/>
      <c r="G736" s="38" t="n"/>
    </row>
    <row r="737" ht="15.75" customHeight="1" s="42">
      <c r="D737" s="38" t="n"/>
      <c r="F737" s="38" t="n"/>
      <c r="G737" s="38" t="n"/>
    </row>
    <row r="738" ht="15.75" customHeight="1" s="42">
      <c r="D738" s="38" t="n"/>
      <c r="F738" s="38" t="n"/>
      <c r="G738" s="38" t="n"/>
    </row>
    <row r="739" ht="15.75" customHeight="1" s="42">
      <c r="D739" s="38" t="n"/>
      <c r="F739" s="38" t="n"/>
      <c r="G739" s="38" t="n"/>
    </row>
    <row r="740" ht="15.75" customHeight="1" s="42">
      <c r="D740" s="38" t="n"/>
      <c r="F740" s="38" t="n"/>
      <c r="G740" s="38" t="n"/>
    </row>
    <row r="741" ht="15.75" customHeight="1" s="42">
      <c r="D741" s="38" t="n"/>
      <c r="F741" s="38" t="n"/>
      <c r="G741" s="38" t="n"/>
    </row>
    <row r="742" ht="15.75" customHeight="1" s="42">
      <c r="D742" s="38" t="n"/>
      <c r="F742" s="38" t="n"/>
      <c r="G742" s="38" t="n"/>
    </row>
    <row r="743" ht="15.75" customHeight="1" s="42">
      <c r="D743" s="38" t="n"/>
      <c r="F743" s="38" t="n"/>
      <c r="G743" s="38" t="n"/>
    </row>
    <row r="744" ht="15.75" customHeight="1" s="42">
      <c r="D744" s="38" t="n"/>
      <c r="F744" s="38" t="n"/>
      <c r="G744" s="38" t="n"/>
    </row>
    <row r="745" ht="15.75" customHeight="1" s="42">
      <c r="D745" s="38" t="n"/>
      <c r="F745" s="38" t="n"/>
      <c r="G745" s="38" t="n"/>
    </row>
    <row r="746" ht="15.75" customHeight="1" s="42">
      <c r="D746" s="38" t="n"/>
      <c r="F746" s="38" t="n"/>
      <c r="G746" s="38" t="n"/>
    </row>
    <row r="747" ht="15.75" customHeight="1" s="42">
      <c r="D747" s="38" t="n"/>
      <c r="F747" s="38" t="n"/>
      <c r="G747" s="38" t="n"/>
    </row>
    <row r="748" ht="15.75" customHeight="1" s="42">
      <c r="D748" s="38" t="n"/>
      <c r="F748" s="38" t="n"/>
      <c r="G748" s="38" t="n"/>
    </row>
    <row r="749" ht="15.75" customHeight="1" s="42">
      <c r="D749" s="38" t="n"/>
      <c r="F749" s="38" t="n"/>
      <c r="G749" s="38" t="n"/>
    </row>
    <row r="750" ht="15.75" customHeight="1" s="42">
      <c r="D750" s="38" t="n"/>
      <c r="F750" s="38" t="n"/>
      <c r="G750" s="38" t="n"/>
    </row>
    <row r="751" ht="15.75" customHeight="1" s="42">
      <c r="D751" s="38" t="n"/>
      <c r="F751" s="38" t="n"/>
      <c r="G751" s="38" t="n"/>
    </row>
    <row r="752" ht="15.75" customHeight="1" s="42">
      <c r="D752" s="38" t="n"/>
      <c r="F752" s="38" t="n"/>
      <c r="G752" s="38" t="n"/>
    </row>
    <row r="753" ht="15.75" customHeight="1" s="42">
      <c r="D753" s="38" t="n"/>
      <c r="F753" s="38" t="n"/>
      <c r="G753" s="38" t="n"/>
    </row>
    <row r="754" ht="15.75" customHeight="1" s="42">
      <c r="D754" s="38" t="n"/>
      <c r="F754" s="38" t="n"/>
      <c r="G754" s="38" t="n"/>
    </row>
    <row r="755" ht="15.75" customHeight="1" s="42">
      <c r="D755" s="38" t="n"/>
      <c r="F755" s="38" t="n"/>
      <c r="G755" s="38" t="n"/>
    </row>
    <row r="756" ht="15.75" customHeight="1" s="42">
      <c r="D756" s="38" t="n"/>
      <c r="F756" s="38" t="n"/>
      <c r="G756" s="38" t="n"/>
    </row>
    <row r="757" ht="15.75" customHeight="1" s="42">
      <c r="D757" s="38" t="n"/>
      <c r="F757" s="38" t="n"/>
      <c r="G757" s="38" t="n"/>
    </row>
    <row r="758" ht="15.75" customHeight="1" s="42">
      <c r="D758" s="38" t="n"/>
      <c r="F758" s="38" t="n"/>
      <c r="G758" s="38" t="n"/>
    </row>
    <row r="759" ht="15.75" customHeight="1" s="42">
      <c r="D759" s="38" t="n"/>
      <c r="F759" s="38" t="n"/>
      <c r="G759" s="38" t="n"/>
    </row>
    <row r="760" ht="15.75" customHeight="1" s="42">
      <c r="D760" s="38" t="n"/>
      <c r="F760" s="38" t="n"/>
      <c r="G760" s="38" t="n"/>
    </row>
    <row r="761" ht="15.75" customHeight="1" s="42">
      <c r="D761" s="38" t="n"/>
      <c r="F761" s="38" t="n"/>
      <c r="G761" s="38" t="n"/>
    </row>
    <row r="762" ht="15.75" customHeight="1" s="42">
      <c r="D762" s="38" t="n"/>
      <c r="F762" s="38" t="n"/>
      <c r="G762" s="38" t="n"/>
    </row>
    <row r="763" ht="15.75" customHeight="1" s="42">
      <c r="D763" s="38" t="n"/>
      <c r="F763" s="38" t="n"/>
      <c r="G763" s="38" t="n"/>
    </row>
    <row r="764" ht="15.75" customHeight="1" s="42">
      <c r="D764" s="38" t="n"/>
      <c r="F764" s="38" t="n"/>
      <c r="G764" s="38" t="n"/>
    </row>
    <row r="765" ht="15.75" customHeight="1" s="42">
      <c r="D765" s="38" t="n"/>
      <c r="F765" s="38" t="n"/>
      <c r="G765" s="38" t="n"/>
    </row>
    <row r="766" ht="15.75" customHeight="1" s="42">
      <c r="D766" s="38" t="n"/>
      <c r="F766" s="38" t="n"/>
      <c r="G766" s="38" t="n"/>
    </row>
    <row r="767" ht="15.75" customHeight="1" s="42">
      <c r="D767" s="38" t="n"/>
      <c r="F767" s="38" t="n"/>
      <c r="G767" s="38" t="n"/>
    </row>
    <row r="768" ht="15.75" customHeight="1" s="42">
      <c r="D768" s="38" t="n"/>
      <c r="F768" s="38" t="n"/>
      <c r="G768" s="38" t="n"/>
    </row>
    <row r="769" ht="15.75" customHeight="1" s="42">
      <c r="D769" s="38" t="n"/>
      <c r="F769" s="38" t="n"/>
      <c r="G769" s="38" t="n"/>
    </row>
    <row r="770" ht="15.75" customHeight="1" s="42">
      <c r="D770" s="38" t="n"/>
      <c r="F770" s="38" t="n"/>
      <c r="G770" s="38" t="n"/>
    </row>
    <row r="771" ht="15.75" customHeight="1" s="42">
      <c r="D771" s="38" t="n"/>
      <c r="F771" s="38" t="n"/>
      <c r="G771" s="38" t="n"/>
    </row>
    <row r="772" ht="15.75" customHeight="1" s="42">
      <c r="D772" s="38" t="n"/>
      <c r="F772" s="38" t="n"/>
      <c r="G772" s="38" t="n"/>
    </row>
    <row r="773" ht="15.75" customHeight="1" s="42">
      <c r="D773" s="38" t="n"/>
      <c r="F773" s="38" t="n"/>
      <c r="G773" s="38" t="n"/>
    </row>
    <row r="774" ht="15.75" customHeight="1" s="42">
      <c r="D774" s="38" t="n"/>
      <c r="F774" s="38" t="n"/>
      <c r="G774" s="38" t="n"/>
    </row>
    <row r="775" ht="15.75" customHeight="1" s="42">
      <c r="D775" s="38" t="n"/>
      <c r="F775" s="38" t="n"/>
      <c r="G775" s="38" t="n"/>
    </row>
    <row r="776" ht="15.75" customHeight="1" s="42">
      <c r="D776" s="38" t="n"/>
      <c r="F776" s="38" t="n"/>
      <c r="G776" s="38" t="n"/>
    </row>
    <row r="777" ht="15.75" customHeight="1" s="42">
      <c r="D777" s="38" t="n"/>
      <c r="F777" s="38" t="n"/>
      <c r="G777" s="38" t="n"/>
    </row>
    <row r="778" ht="15.75" customHeight="1" s="42">
      <c r="D778" s="38" t="n"/>
      <c r="F778" s="38" t="n"/>
      <c r="G778" s="38" t="n"/>
    </row>
    <row r="779" ht="15.75" customHeight="1" s="42">
      <c r="D779" s="38" t="n"/>
      <c r="F779" s="38" t="n"/>
      <c r="G779" s="38" t="n"/>
    </row>
    <row r="780" ht="15.75" customHeight="1" s="42">
      <c r="D780" s="38" t="n"/>
      <c r="F780" s="38" t="n"/>
      <c r="G780" s="38" t="n"/>
    </row>
    <row r="781" ht="15.75" customHeight="1" s="42">
      <c r="D781" s="38" t="n"/>
      <c r="F781" s="38" t="n"/>
      <c r="G781" s="38" t="n"/>
    </row>
    <row r="782" ht="15.75" customHeight="1" s="42">
      <c r="D782" s="38" t="n"/>
      <c r="F782" s="38" t="n"/>
      <c r="G782" s="38" t="n"/>
    </row>
    <row r="783" ht="15.75" customHeight="1" s="42">
      <c r="D783" s="38" t="n"/>
      <c r="F783" s="38" t="n"/>
      <c r="G783" s="38" t="n"/>
    </row>
    <row r="784" ht="15.75" customHeight="1" s="42">
      <c r="D784" s="38" t="n"/>
      <c r="F784" s="38" t="n"/>
      <c r="G784" s="38" t="n"/>
    </row>
    <row r="785" ht="15.75" customHeight="1" s="42">
      <c r="D785" s="38" t="n"/>
      <c r="F785" s="38" t="n"/>
      <c r="G785" s="38" t="n"/>
    </row>
    <row r="786" ht="15.75" customHeight="1" s="42">
      <c r="D786" s="38" t="n"/>
      <c r="F786" s="38" t="n"/>
      <c r="G786" s="38" t="n"/>
    </row>
    <row r="787" ht="15.75" customHeight="1" s="42">
      <c r="D787" s="38" t="n"/>
      <c r="F787" s="38" t="n"/>
      <c r="G787" s="38" t="n"/>
    </row>
    <row r="788" ht="15.75" customHeight="1" s="42">
      <c r="D788" s="38" t="n"/>
      <c r="F788" s="38" t="n"/>
      <c r="G788" s="38" t="n"/>
    </row>
    <row r="789" ht="15.75" customHeight="1" s="42">
      <c r="D789" s="38" t="n"/>
      <c r="F789" s="38" t="n"/>
      <c r="G789" s="38" t="n"/>
    </row>
    <row r="790" ht="15.75" customHeight="1" s="42">
      <c r="D790" s="38" t="n"/>
      <c r="F790" s="38" t="n"/>
      <c r="G790" s="38" t="n"/>
    </row>
    <row r="791" ht="15.75" customHeight="1" s="42">
      <c r="D791" s="38" t="n"/>
      <c r="F791" s="38" t="n"/>
      <c r="G791" s="38" t="n"/>
    </row>
    <row r="792" ht="15.75" customHeight="1" s="42">
      <c r="D792" s="38" t="n"/>
      <c r="F792" s="38" t="n"/>
      <c r="G792" s="38" t="n"/>
    </row>
    <row r="793" ht="15.75" customHeight="1" s="42">
      <c r="D793" s="38" t="n"/>
      <c r="F793" s="38" t="n"/>
      <c r="G793" s="38" t="n"/>
    </row>
    <row r="794" ht="15.75" customHeight="1" s="42">
      <c r="D794" s="38" t="n"/>
      <c r="F794" s="38" t="n"/>
      <c r="G794" s="38" t="n"/>
    </row>
    <row r="795" ht="15.75" customHeight="1" s="42">
      <c r="D795" s="38" t="n"/>
      <c r="F795" s="38" t="n"/>
      <c r="G795" s="38" t="n"/>
    </row>
    <row r="796" ht="15.75" customHeight="1" s="42">
      <c r="D796" s="38" t="n"/>
      <c r="F796" s="38" t="n"/>
      <c r="G796" s="38" t="n"/>
    </row>
    <row r="797" ht="15.75" customHeight="1" s="42">
      <c r="D797" s="38" t="n"/>
      <c r="F797" s="38" t="n"/>
      <c r="G797" s="38" t="n"/>
    </row>
    <row r="798" ht="15.75" customHeight="1" s="42">
      <c r="D798" s="38" t="n"/>
      <c r="F798" s="38" t="n"/>
      <c r="G798" s="38" t="n"/>
    </row>
    <row r="799" ht="15.75" customHeight="1" s="42">
      <c r="D799" s="38" t="n"/>
      <c r="F799" s="38" t="n"/>
      <c r="G799" s="38" t="n"/>
    </row>
    <row r="800" ht="15.75" customHeight="1" s="42">
      <c r="D800" s="38" t="n"/>
      <c r="F800" s="38" t="n"/>
      <c r="G800" s="38" t="n"/>
    </row>
    <row r="801" ht="15.75" customHeight="1" s="42">
      <c r="D801" s="38" t="n"/>
      <c r="F801" s="38" t="n"/>
      <c r="G801" s="38" t="n"/>
    </row>
    <row r="802" ht="15.75" customHeight="1" s="42">
      <c r="D802" s="38" t="n"/>
      <c r="F802" s="38" t="n"/>
      <c r="G802" s="38" t="n"/>
    </row>
    <row r="803" ht="15.75" customHeight="1" s="42">
      <c r="D803" s="38" t="n"/>
      <c r="F803" s="38" t="n"/>
      <c r="G803" s="38" t="n"/>
    </row>
    <row r="804" ht="15.75" customHeight="1" s="42">
      <c r="D804" s="38" t="n"/>
      <c r="F804" s="38" t="n"/>
      <c r="G804" s="38" t="n"/>
    </row>
    <row r="805" ht="15.75" customHeight="1" s="42">
      <c r="D805" s="38" t="n"/>
      <c r="F805" s="38" t="n"/>
      <c r="G805" s="38" t="n"/>
    </row>
    <row r="806" ht="15.75" customHeight="1" s="42">
      <c r="D806" s="38" t="n"/>
      <c r="F806" s="38" t="n"/>
      <c r="G806" s="38" t="n"/>
    </row>
    <row r="807" ht="15.75" customHeight="1" s="42">
      <c r="D807" s="38" t="n"/>
      <c r="F807" s="38" t="n"/>
      <c r="G807" s="38" t="n"/>
    </row>
    <row r="808" ht="15.75" customHeight="1" s="42">
      <c r="D808" s="38" t="n"/>
      <c r="F808" s="38" t="n"/>
      <c r="G808" s="38" t="n"/>
    </row>
    <row r="809" ht="15.75" customHeight="1" s="42">
      <c r="D809" s="38" t="n"/>
      <c r="F809" s="38" t="n"/>
      <c r="G809" s="38" t="n"/>
    </row>
    <row r="810" ht="15.75" customHeight="1" s="42">
      <c r="D810" s="38" t="n"/>
      <c r="F810" s="38" t="n"/>
      <c r="G810" s="38" t="n"/>
    </row>
    <row r="811" ht="15.75" customHeight="1" s="42">
      <c r="D811" s="38" t="n"/>
      <c r="F811" s="38" t="n"/>
      <c r="G811" s="38" t="n"/>
    </row>
    <row r="812" ht="15.75" customHeight="1" s="42">
      <c r="D812" s="38" t="n"/>
      <c r="F812" s="38" t="n"/>
      <c r="G812" s="38" t="n"/>
    </row>
    <row r="813" ht="15.75" customHeight="1" s="42">
      <c r="D813" s="38" t="n"/>
      <c r="F813" s="38" t="n"/>
      <c r="G813" s="38" t="n"/>
    </row>
    <row r="814" ht="15.75" customHeight="1" s="42">
      <c r="D814" s="38" t="n"/>
      <c r="F814" s="38" t="n"/>
      <c r="G814" s="38" t="n"/>
    </row>
    <row r="815" ht="15.75" customHeight="1" s="42">
      <c r="D815" s="38" t="n"/>
      <c r="F815" s="38" t="n"/>
      <c r="G815" s="38" t="n"/>
    </row>
    <row r="816" ht="15.75" customHeight="1" s="42">
      <c r="D816" s="38" t="n"/>
      <c r="F816" s="38" t="n"/>
      <c r="G816" s="38" t="n"/>
    </row>
    <row r="817" ht="15.75" customHeight="1" s="42">
      <c r="D817" s="38" t="n"/>
      <c r="F817" s="38" t="n"/>
      <c r="G817" s="38" t="n"/>
    </row>
    <row r="818" ht="15.75" customHeight="1" s="42">
      <c r="D818" s="38" t="n"/>
      <c r="F818" s="38" t="n"/>
      <c r="G818" s="38" t="n"/>
    </row>
    <row r="819" ht="15.75" customHeight="1" s="42">
      <c r="D819" s="38" t="n"/>
      <c r="F819" s="38" t="n"/>
      <c r="G819" s="38" t="n"/>
    </row>
    <row r="820" ht="15.75" customHeight="1" s="42">
      <c r="D820" s="38" t="n"/>
      <c r="F820" s="38" t="n"/>
      <c r="G820" s="38" t="n"/>
    </row>
    <row r="821" ht="15.75" customHeight="1" s="42">
      <c r="D821" s="38" t="n"/>
      <c r="F821" s="38" t="n"/>
      <c r="G821" s="38" t="n"/>
    </row>
    <row r="822" ht="15.75" customHeight="1" s="42">
      <c r="D822" s="38" t="n"/>
      <c r="F822" s="38" t="n"/>
      <c r="G822" s="38" t="n"/>
    </row>
    <row r="823" ht="15.75" customHeight="1" s="42">
      <c r="D823" s="38" t="n"/>
      <c r="F823" s="38" t="n"/>
      <c r="G823" s="38" t="n"/>
    </row>
    <row r="824" ht="15.75" customHeight="1" s="42">
      <c r="D824" s="38" t="n"/>
      <c r="F824" s="38" t="n"/>
      <c r="G824" s="38" t="n"/>
    </row>
    <row r="825" ht="15.75" customHeight="1" s="42">
      <c r="D825" s="38" t="n"/>
      <c r="F825" s="38" t="n"/>
      <c r="G825" s="38" t="n"/>
    </row>
    <row r="826" ht="15.75" customHeight="1" s="42">
      <c r="D826" s="38" t="n"/>
      <c r="F826" s="38" t="n"/>
      <c r="G826" s="38" t="n"/>
    </row>
    <row r="827" ht="15.75" customHeight="1" s="42">
      <c r="D827" s="38" t="n"/>
      <c r="F827" s="38" t="n"/>
      <c r="G827" s="38" t="n"/>
    </row>
    <row r="828" ht="15.75" customHeight="1" s="42">
      <c r="D828" s="38" t="n"/>
      <c r="F828" s="38" t="n"/>
      <c r="G828" s="38" t="n"/>
    </row>
    <row r="829" ht="15.75" customHeight="1" s="42">
      <c r="D829" s="38" t="n"/>
      <c r="F829" s="38" t="n"/>
      <c r="G829" s="38" t="n"/>
    </row>
    <row r="830" ht="15.75" customHeight="1" s="42">
      <c r="D830" s="38" t="n"/>
      <c r="F830" s="38" t="n"/>
      <c r="G830" s="38" t="n"/>
    </row>
    <row r="831" ht="15.75" customHeight="1" s="42">
      <c r="D831" s="38" t="n"/>
      <c r="F831" s="38" t="n"/>
      <c r="G831" s="38" t="n"/>
    </row>
    <row r="832" ht="15.75" customHeight="1" s="42">
      <c r="D832" s="38" t="n"/>
      <c r="F832" s="38" t="n"/>
      <c r="G832" s="38" t="n"/>
    </row>
    <row r="833" ht="15.75" customHeight="1" s="42">
      <c r="D833" s="38" t="n"/>
      <c r="F833" s="38" t="n"/>
      <c r="G833" s="38" t="n"/>
    </row>
    <row r="834" ht="15.75" customHeight="1" s="42">
      <c r="D834" s="38" t="n"/>
      <c r="F834" s="38" t="n"/>
      <c r="G834" s="38" t="n"/>
    </row>
    <row r="835" ht="15.75" customHeight="1" s="42">
      <c r="D835" s="38" t="n"/>
      <c r="F835" s="38" t="n"/>
      <c r="G835" s="38" t="n"/>
    </row>
    <row r="836" ht="15.75" customHeight="1" s="42">
      <c r="D836" s="38" t="n"/>
      <c r="F836" s="38" t="n"/>
      <c r="G836" s="38" t="n"/>
    </row>
    <row r="837" ht="15.75" customHeight="1" s="42">
      <c r="D837" s="38" t="n"/>
      <c r="F837" s="38" t="n"/>
      <c r="G837" s="38" t="n"/>
    </row>
    <row r="838" ht="15.75" customHeight="1" s="42">
      <c r="D838" s="38" t="n"/>
      <c r="F838" s="38" t="n"/>
      <c r="G838" s="38" t="n"/>
    </row>
    <row r="839" ht="15.75" customHeight="1" s="42">
      <c r="D839" s="38" t="n"/>
      <c r="F839" s="38" t="n"/>
      <c r="G839" s="38" t="n"/>
    </row>
    <row r="840" ht="15.75" customHeight="1" s="42">
      <c r="D840" s="38" t="n"/>
      <c r="F840" s="38" t="n"/>
      <c r="G840" s="38" t="n"/>
    </row>
    <row r="841" ht="15.75" customHeight="1" s="42">
      <c r="D841" s="38" t="n"/>
      <c r="F841" s="38" t="n"/>
      <c r="G841" s="38" t="n"/>
    </row>
    <row r="842" ht="15.75" customHeight="1" s="42">
      <c r="D842" s="38" t="n"/>
      <c r="F842" s="38" t="n"/>
      <c r="G842" s="38" t="n"/>
    </row>
    <row r="843" ht="15.75" customHeight="1" s="42">
      <c r="D843" s="38" t="n"/>
      <c r="F843" s="38" t="n"/>
      <c r="G843" s="38" t="n"/>
    </row>
    <row r="844" ht="15.75" customHeight="1" s="42">
      <c r="D844" s="38" t="n"/>
      <c r="F844" s="38" t="n"/>
      <c r="G844" s="38" t="n"/>
    </row>
    <row r="845" ht="15.75" customHeight="1" s="42">
      <c r="D845" s="38" t="n"/>
      <c r="F845" s="38" t="n"/>
      <c r="G845" s="38" t="n"/>
    </row>
    <row r="846" ht="15.75" customHeight="1" s="42">
      <c r="D846" s="38" t="n"/>
      <c r="F846" s="38" t="n"/>
      <c r="G846" s="38" t="n"/>
    </row>
    <row r="847" ht="15.75" customHeight="1" s="42">
      <c r="D847" s="38" t="n"/>
      <c r="F847" s="38" t="n"/>
      <c r="G847" s="38" t="n"/>
    </row>
    <row r="848" ht="15.75" customHeight="1" s="42">
      <c r="D848" s="38" t="n"/>
      <c r="F848" s="38" t="n"/>
      <c r="G848" s="38" t="n"/>
    </row>
    <row r="849" ht="15.75" customHeight="1" s="42">
      <c r="D849" s="38" t="n"/>
      <c r="F849" s="38" t="n"/>
      <c r="G849" s="38" t="n"/>
    </row>
    <row r="850" ht="15.75" customHeight="1" s="42">
      <c r="D850" s="38" t="n"/>
      <c r="F850" s="38" t="n"/>
      <c r="G850" s="38" t="n"/>
    </row>
    <row r="851" ht="15.75" customHeight="1" s="42">
      <c r="D851" s="38" t="n"/>
      <c r="F851" s="38" t="n"/>
      <c r="G851" s="38" t="n"/>
    </row>
    <row r="852" ht="15.75" customHeight="1" s="42">
      <c r="D852" s="38" t="n"/>
      <c r="F852" s="38" t="n"/>
      <c r="G852" s="38" t="n"/>
    </row>
    <row r="853" ht="15.75" customHeight="1" s="42">
      <c r="D853" s="38" t="n"/>
      <c r="F853" s="38" t="n"/>
      <c r="G853" s="38" t="n"/>
    </row>
    <row r="854" ht="15.75" customHeight="1" s="42">
      <c r="D854" s="38" t="n"/>
      <c r="F854" s="38" t="n"/>
      <c r="G854" s="38" t="n"/>
    </row>
    <row r="855" ht="15.75" customHeight="1" s="42">
      <c r="D855" s="38" t="n"/>
      <c r="F855" s="38" t="n"/>
      <c r="G855" s="38" t="n"/>
    </row>
    <row r="856" ht="15.75" customHeight="1" s="42">
      <c r="D856" s="38" t="n"/>
      <c r="F856" s="38" t="n"/>
      <c r="G856" s="38" t="n"/>
    </row>
    <row r="857" ht="15.75" customHeight="1" s="42">
      <c r="D857" s="38" t="n"/>
      <c r="F857" s="38" t="n"/>
      <c r="G857" s="38" t="n"/>
    </row>
    <row r="858" ht="15.75" customHeight="1" s="42">
      <c r="D858" s="38" t="n"/>
      <c r="F858" s="38" t="n"/>
      <c r="G858" s="38" t="n"/>
    </row>
    <row r="859" ht="15.75" customHeight="1" s="42">
      <c r="D859" s="38" t="n"/>
      <c r="F859" s="38" t="n"/>
      <c r="G859" s="38" t="n"/>
    </row>
    <row r="860" ht="15.75" customHeight="1" s="42">
      <c r="D860" s="38" t="n"/>
      <c r="F860" s="38" t="n"/>
      <c r="G860" s="38" t="n"/>
    </row>
    <row r="861" ht="15.75" customHeight="1" s="42">
      <c r="D861" s="38" t="n"/>
      <c r="F861" s="38" t="n"/>
      <c r="G861" s="38" t="n"/>
    </row>
    <row r="862" ht="15.75" customHeight="1" s="42">
      <c r="D862" s="38" t="n"/>
      <c r="F862" s="38" t="n"/>
      <c r="G862" s="38" t="n"/>
    </row>
    <row r="863" ht="15.75" customHeight="1" s="42">
      <c r="D863" s="38" t="n"/>
      <c r="F863" s="38" t="n"/>
      <c r="G863" s="38" t="n"/>
    </row>
    <row r="864" ht="15.75" customHeight="1" s="42">
      <c r="D864" s="38" t="n"/>
      <c r="F864" s="38" t="n"/>
      <c r="G864" s="38" t="n"/>
    </row>
    <row r="865" ht="15.75" customHeight="1" s="42">
      <c r="D865" s="38" t="n"/>
      <c r="F865" s="38" t="n"/>
      <c r="G865" s="38" t="n"/>
    </row>
    <row r="866" ht="15.75" customHeight="1" s="42">
      <c r="D866" s="38" t="n"/>
      <c r="F866" s="38" t="n"/>
      <c r="G866" s="38" t="n"/>
    </row>
    <row r="867" ht="15.75" customHeight="1" s="42">
      <c r="D867" s="38" t="n"/>
      <c r="F867" s="38" t="n"/>
      <c r="G867" s="38" t="n"/>
    </row>
    <row r="868" ht="15.75" customHeight="1" s="42">
      <c r="D868" s="38" t="n"/>
      <c r="F868" s="38" t="n"/>
      <c r="G868" s="38" t="n"/>
    </row>
    <row r="869" ht="15.75" customHeight="1" s="42">
      <c r="D869" s="38" t="n"/>
      <c r="F869" s="38" t="n"/>
      <c r="G869" s="38" t="n"/>
    </row>
    <row r="870" ht="15.75" customHeight="1" s="42">
      <c r="D870" s="38" t="n"/>
      <c r="F870" s="38" t="n"/>
      <c r="G870" s="38" t="n"/>
    </row>
    <row r="871" ht="15.75" customHeight="1" s="42">
      <c r="D871" s="38" t="n"/>
      <c r="F871" s="38" t="n"/>
      <c r="G871" s="38" t="n"/>
    </row>
    <row r="872" ht="15.75" customHeight="1" s="42">
      <c r="D872" s="38" t="n"/>
      <c r="F872" s="38" t="n"/>
      <c r="G872" s="38" t="n"/>
    </row>
    <row r="873" ht="15.75" customHeight="1" s="42">
      <c r="D873" s="38" t="n"/>
      <c r="F873" s="38" t="n"/>
      <c r="G873" s="38" t="n"/>
    </row>
    <row r="874" ht="15.75" customHeight="1" s="42">
      <c r="D874" s="38" t="n"/>
      <c r="F874" s="38" t="n"/>
      <c r="G874" s="38" t="n"/>
    </row>
    <row r="875" ht="15.75" customHeight="1" s="42">
      <c r="D875" s="38" t="n"/>
      <c r="F875" s="38" t="n"/>
      <c r="G875" s="38" t="n"/>
    </row>
    <row r="876" ht="15.75" customHeight="1" s="42">
      <c r="D876" s="38" t="n"/>
      <c r="F876" s="38" t="n"/>
      <c r="G876" s="38" t="n"/>
    </row>
    <row r="877" ht="15.75" customHeight="1" s="42">
      <c r="D877" s="38" t="n"/>
      <c r="F877" s="38" t="n"/>
      <c r="G877" s="38" t="n"/>
    </row>
    <row r="878" ht="15.75" customHeight="1" s="42">
      <c r="D878" s="38" t="n"/>
      <c r="F878" s="38" t="n"/>
      <c r="G878" s="38" t="n"/>
    </row>
    <row r="879" ht="15.75" customHeight="1" s="42">
      <c r="D879" s="38" t="n"/>
      <c r="F879" s="38" t="n"/>
      <c r="G879" s="38" t="n"/>
    </row>
    <row r="880" ht="15.75" customHeight="1" s="42">
      <c r="D880" s="38" t="n"/>
      <c r="F880" s="38" t="n"/>
      <c r="G880" s="38" t="n"/>
    </row>
    <row r="881" ht="15.75" customHeight="1" s="42">
      <c r="D881" s="38" t="n"/>
      <c r="F881" s="38" t="n"/>
      <c r="G881" s="38" t="n"/>
    </row>
    <row r="882" ht="15.75" customHeight="1" s="42">
      <c r="D882" s="38" t="n"/>
      <c r="F882" s="38" t="n"/>
      <c r="G882" s="38" t="n"/>
    </row>
    <row r="883" ht="15.75" customHeight="1" s="42">
      <c r="D883" s="38" t="n"/>
      <c r="F883" s="38" t="n"/>
      <c r="G883" s="38" t="n"/>
    </row>
    <row r="884" ht="15.75" customHeight="1" s="42">
      <c r="D884" s="38" t="n"/>
      <c r="F884" s="38" t="n"/>
      <c r="G884" s="38" t="n"/>
    </row>
    <row r="885" ht="15.75" customHeight="1" s="42">
      <c r="D885" s="38" t="n"/>
      <c r="F885" s="38" t="n"/>
      <c r="G885" s="38" t="n"/>
    </row>
    <row r="886" ht="15.75" customHeight="1" s="42">
      <c r="D886" s="38" t="n"/>
      <c r="F886" s="38" t="n"/>
      <c r="G886" s="38" t="n"/>
    </row>
    <row r="887" ht="15.75" customHeight="1" s="42">
      <c r="D887" s="38" t="n"/>
      <c r="F887" s="38" t="n"/>
      <c r="G887" s="38" t="n"/>
    </row>
    <row r="888" ht="15.75" customHeight="1" s="42">
      <c r="D888" s="38" t="n"/>
      <c r="F888" s="38" t="n"/>
      <c r="G888" s="38" t="n"/>
    </row>
    <row r="889" ht="15.75" customHeight="1" s="42">
      <c r="D889" s="38" t="n"/>
      <c r="F889" s="38" t="n"/>
      <c r="G889" s="38" t="n"/>
    </row>
    <row r="890" ht="15.75" customHeight="1" s="42">
      <c r="D890" s="38" t="n"/>
      <c r="F890" s="38" t="n"/>
      <c r="G890" s="38" t="n"/>
    </row>
    <row r="891" ht="15.75" customHeight="1" s="42">
      <c r="D891" s="38" t="n"/>
      <c r="F891" s="38" t="n"/>
      <c r="G891" s="38" t="n"/>
    </row>
    <row r="892" ht="15.75" customHeight="1" s="42">
      <c r="D892" s="38" t="n"/>
      <c r="F892" s="38" t="n"/>
      <c r="G892" s="38" t="n"/>
    </row>
    <row r="893" ht="15.75" customHeight="1" s="42">
      <c r="D893" s="38" t="n"/>
      <c r="F893" s="38" t="n"/>
      <c r="G893" s="38" t="n"/>
    </row>
    <row r="894" ht="15.75" customHeight="1" s="42">
      <c r="D894" s="38" t="n"/>
      <c r="F894" s="38" t="n"/>
      <c r="G894" s="38" t="n"/>
    </row>
    <row r="895" ht="15.75" customHeight="1" s="42">
      <c r="D895" s="38" t="n"/>
      <c r="F895" s="38" t="n"/>
      <c r="G895" s="38" t="n"/>
    </row>
    <row r="896" ht="15.75" customHeight="1" s="42">
      <c r="D896" s="38" t="n"/>
      <c r="F896" s="38" t="n"/>
      <c r="G896" s="38" t="n"/>
    </row>
    <row r="897" ht="15.75" customHeight="1" s="42">
      <c r="D897" s="38" t="n"/>
      <c r="F897" s="38" t="n"/>
      <c r="G897" s="38" t="n"/>
    </row>
    <row r="898" ht="15.75" customHeight="1" s="42">
      <c r="D898" s="38" t="n"/>
      <c r="F898" s="38" t="n"/>
      <c r="G898" s="38" t="n"/>
    </row>
    <row r="899" ht="15.75" customHeight="1" s="42">
      <c r="D899" s="38" t="n"/>
      <c r="F899" s="38" t="n"/>
      <c r="G899" s="38" t="n"/>
    </row>
    <row r="900" ht="15.75" customHeight="1" s="42">
      <c r="D900" s="38" t="n"/>
      <c r="F900" s="38" t="n"/>
      <c r="G900" s="38" t="n"/>
    </row>
    <row r="901" ht="15.75" customHeight="1" s="42">
      <c r="D901" s="38" t="n"/>
      <c r="F901" s="38" t="n"/>
      <c r="G901" s="38" t="n"/>
    </row>
    <row r="902" ht="15.75" customHeight="1" s="42">
      <c r="D902" s="38" t="n"/>
      <c r="F902" s="38" t="n"/>
      <c r="G902" s="38" t="n"/>
    </row>
    <row r="903" ht="15.75" customHeight="1" s="42">
      <c r="D903" s="38" t="n"/>
      <c r="F903" s="38" t="n"/>
      <c r="G903" s="38" t="n"/>
    </row>
    <row r="904" ht="15.75" customHeight="1" s="42">
      <c r="D904" s="38" t="n"/>
      <c r="F904" s="38" t="n"/>
      <c r="G904" s="38" t="n"/>
    </row>
    <row r="905" ht="15.75" customHeight="1" s="42">
      <c r="D905" s="38" t="n"/>
      <c r="F905" s="38" t="n"/>
      <c r="G905" s="38" t="n"/>
    </row>
    <row r="906" ht="15.75" customHeight="1" s="42">
      <c r="D906" s="38" t="n"/>
      <c r="F906" s="38" t="n"/>
      <c r="G906" s="38" t="n"/>
    </row>
    <row r="907" ht="15.75" customHeight="1" s="42">
      <c r="D907" s="38" t="n"/>
      <c r="F907" s="38" t="n"/>
      <c r="G907" s="38" t="n"/>
    </row>
    <row r="908" ht="15.75" customHeight="1" s="42">
      <c r="D908" s="38" t="n"/>
      <c r="F908" s="38" t="n"/>
      <c r="G908" s="38" t="n"/>
    </row>
    <row r="909" ht="15.75" customHeight="1" s="42">
      <c r="D909" s="38" t="n"/>
      <c r="F909" s="38" t="n"/>
      <c r="G909" s="38" t="n"/>
    </row>
    <row r="910" ht="15.75" customHeight="1" s="42">
      <c r="D910" s="38" t="n"/>
      <c r="F910" s="38" t="n"/>
      <c r="G910" s="38" t="n"/>
    </row>
    <row r="911" ht="15.75" customHeight="1" s="42">
      <c r="D911" s="38" t="n"/>
      <c r="F911" s="38" t="n"/>
      <c r="G911" s="38" t="n"/>
    </row>
    <row r="912" ht="15.75" customHeight="1" s="42">
      <c r="D912" s="38" t="n"/>
      <c r="F912" s="38" t="n"/>
      <c r="G912" s="38" t="n"/>
    </row>
    <row r="913" ht="15.75" customHeight="1" s="42">
      <c r="D913" s="38" t="n"/>
      <c r="F913" s="38" t="n"/>
      <c r="G913" s="38" t="n"/>
    </row>
    <row r="914" ht="15.75" customHeight="1" s="42">
      <c r="D914" s="38" t="n"/>
      <c r="F914" s="38" t="n"/>
      <c r="G914" s="38" t="n"/>
    </row>
    <row r="915" ht="15.75" customHeight="1" s="42">
      <c r="D915" s="38" t="n"/>
      <c r="F915" s="38" t="n"/>
      <c r="G915" s="38" t="n"/>
    </row>
    <row r="916" ht="15.75" customHeight="1" s="42">
      <c r="D916" s="38" t="n"/>
      <c r="F916" s="38" t="n"/>
      <c r="G916" s="38" t="n"/>
    </row>
    <row r="917" ht="15.75" customHeight="1" s="42">
      <c r="D917" s="38" t="n"/>
      <c r="F917" s="38" t="n"/>
      <c r="G917" s="38" t="n"/>
    </row>
    <row r="918" ht="15.75" customHeight="1" s="42">
      <c r="D918" s="38" t="n"/>
      <c r="F918" s="38" t="n"/>
      <c r="G918" s="38" t="n"/>
    </row>
    <row r="919" ht="15.75" customHeight="1" s="42">
      <c r="D919" s="38" t="n"/>
      <c r="F919" s="38" t="n"/>
      <c r="G919" s="38" t="n"/>
    </row>
    <row r="920" ht="15.75" customHeight="1" s="42">
      <c r="D920" s="38" t="n"/>
      <c r="F920" s="38" t="n"/>
      <c r="G920" s="38" t="n"/>
    </row>
    <row r="921" ht="15.75" customHeight="1" s="42">
      <c r="D921" s="38" t="n"/>
      <c r="F921" s="38" t="n"/>
      <c r="G921" s="38" t="n"/>
    </row>
    <row r="922" ht="15.75" customHeight="1" s="42">
      <c r="D922" s="38" t="n"/>
      <c r="F922" s="38" t="n"/>
      <c r="G922" s="38" t="n"/>
    </row>
    <row r="923" ht="15.75" customHeight="1" s="42">
      <c r="D923" s="38" t="n"/>
      <c r="F923" s="38" t="n"/>
      <c r="G923" s="38" t="n"/>
    </row>
    <row r="924" ht="15.75" customHeight="1" s="42">
      <c r="D924" s="38" t="n"/>
      <c r="F924" s="38" t="n"/>
      <c r="G924" s="38" t="n"/>
    </row>
    <row r="925" ht="15.75" customHeight="1" s="42">
      <c r="D925" s="38" t="n"/>
      <c r="F925" s="38" t="n"/>
      <c r="G925" s="38" t="n"/>
    </row>
    <row r="926" ht="15.75" customHeight="1" s="42">
      <c r="D926" s="38" t="n"/>
      <c r="F926" s="38" t="n"/>
      <c r="G926" s="38" t="n"/>
    </row>
    <row r="927" ht="15.75" customHeight="1" s="42">
      <c r="D927" s="38" t="n"/>
      <c r="F927" s="38" t="n"/>
      <c r="G927" s="38" t="n"/>
    </row>
    <row r="928" ht="15.75" customHeight="1" s="42">
      <c r="D928" s="38" t="n"/>
      <c r="F928" s="38" t="n"/>
      <c r="G928" s="38" t="n"/>
    </row>
    <row r="929" ht="15.75" customHeight="1" s="42">
      <c r="D929" s="38" t="n"/>
      <c r="F929" s="38" t="n"/>
      <c r="G929" s="38" t="n"/>
    </row>
    <row r="930" ht="15.75" customHeight="1" s="42">
      <c r="D930" s="38" t="n"/>
      <c r="F930" s="38" t="n"/>
      <c r="G930" s="38" t="n"/>
    </row>
    <row r="931" ht="15.75" customHeight="1" s="42">
      <c r="D931" s="38" t="n"/>
      <c r="F931" s="38" t="n"/>
      <c r="G931" s="38" t="n"/>
    </row>
    <row r="932" ht="15.75" customHeight="1" s="42">
      <c r="D932" s="38" t="n"/>
      <c r="F932" s="38" t="n"/>
      <c r="G932" s="38" t="n"/>
    </row>
    <row r="933" ht="15.75" customHeight="1" s="42">
      <c r="D933" s="38" t="n"/>
      <c r="F933" s="38" t="n"/>
      <c r="G933" s="38" t="n"/>
    </row>
    <row r="934" ht="15.75" customHeight="1" s="42">
      <c r="D934" s="38" t="n"/>
      <c r="F934" s="38" t="n"/>
      <c r="G934" s="38" t="n"/>
    </row>
    <row r="935" ht="15.75" customHeight="1" s="42">
      <c r="D935" s="38" t="n"/>
      <c r="F935" s="38" t="n"/>
      <c r="G935" s="38" t="n"/>
    </row>
    <row r="936" ht="15.75" customHeight="1" s="42">
      <c r="D936" s="38" t="n"/>
      <c r="F936" s="38" t="n"/>
      <c r="G936" s="38" t="n"/>
    </row>
    <row r="937" ht="15.75" customHeight="1" s="42">
      <c r="D937" s="38" t="n"/>
      <c r="F937" s="38" t="n"/>
      <c r="G937" s="38" t="n"/>
    </row>
    <row r="938" ht="15.75" customHeight="1" s="42">
      <c r="D938" s="38" t="n"/>
      <c r="F938" s="38" t="n"/>
      <c r="G938" s="38" t="n"/>
    </row>
    <row r="939" ht="15.75" customHeight="1" s="42">
      <c r="D939" s="38" t="n"/>
      <c r="F939" s="38" t="n"/>
      <c r="G939" s="38" t="n"/>
    </row>
    <row r="940" ht="15.75" customHeight="1" s="42">
      <c r="D940" s="38" t="n"/>
      <c r="F940" s="38" t="n"/>
      <c r="G940" s="38" t="n"/>
    </row>
    <row r="941" ht="15.75" customHeight="1" s="42">
      <c r="D941" s="38" t="n"/>
      <c r="F941" s="38" t="n"/>
      <c r="G941" s="38" t="n"/>
    </row>
    <row r="942" ht="15.75" customHeight="1" s="42">
      <c r="D942" s="38" t="n"/>
      <c r="F942" s="38" t="n"/>
      <c r="G942" s="38" t="n"/>
    </row>
    <row r="943" ht="15.75" customHeight="1" s="42">
      <c r="D943" s="38" t="n"/>
      <c r="F943" s="38" t="n"/>
      <c r="G943" s="38" t="n"/>
    </row>
    <row r="944" ht="15.75" customHeight="1" s="42">
      <c r="D944" s="38" t="n"/>
      <c r="F944" s="38" t="n"/>
      <c r="G944" s="38" t="n"/>
    </row>
    <row r="945" ht="15.75" customHeight="1" s="42">
      <c r="D945" s="38" t="n"/>
      <c r="F945" s="38" t="n"/>
      <c r="G945" s="38" t="n"/>
    </row>
    <row r="946" ht="15.75" customHeight="1" s="42">
      <c r="D946" s="38" t="n"/>
      <c r="F946" s="38" t="n"/>
      <c r="G946" s="38" t="n"/>
    </row>
    <row r="947" ht="15.75" customHeight="1" s="42">
      <c r="D947" s="38" t="n"/>
      <c r="F947" s="38" t="n"/>
      <c r="G947" s="38" t="n"/>
    </row>
    <row r="948" ht="15.75" customHeight="1" s="42">
      <c r="D948" s="38" t="n"/>
      <c r="F948" s="38" t="n"/>
      <c r="G948" s="38" t="n"/>
    </row>
    <row r="949" ht="15.75" customHeight="1" s="42">
      <c r="D949" s="38" t="n"/>
      <c r="F949" s="38" t="n"/>
      <c r="G949" s="38" t="n"/>
    </row>
    <row r="950" ht="15.75" customHeight="1" s="42">
      <c r="D950" s="38" t="n"/>
      <c r="F950" s="38" t="n"/>
      <c r="G950" s="38" t="n"/>
    </row>
    <row r="951" ht="15.75" customHeight="1" s="42">
      <c r="D951" s="38" t="n"/>
      <c r="F951" s="38" t="n"/>
      <c r="G951" s="38" t="n"/>
    </row>
    <row r="952" ht="15.75" customHeight="1" s="42">
      <c r="D952" s="38" t="n"/>
      <c r="F952" s="38" t="n"/>
      <c r="G952" s="38" t="n"/>
    </row>
    <row r="953" ht="15.75" customHeight="1" s="42">
      <c r="D953" s="38" t="n"/>
      <c r="F953" s="38" t="n"/>
      <c r="G953" s="38" t="n"/>
    </row>
    <row r="954" ht="15.75" customHeight="1" s="42">
      <c r="D954" s="38" t="n"/>
      <c r="F954" s="38" t="n"/>
      <c r="G954" s="38" t="n"/>
    </row>
    <row r="955" ht="15.75" customHeight="1" s="42">
      <c r="D955" s="38" t="n"/>
      <c r="F955" s="38" t="n"/>
      <c r="G955" s="38" t="n"/>
    </row>
    <row r="956" ht="15.75" customHeight="1" s="42">
      <c r="D956" s="38" t="n"/>
      <c r="F956" s="38" t="n"/>
      <c r="G956" s="38" t="n"/>
    </row>
    <row r="957" ht="15.75" customHeight="1" s="42">
      <c r="D957" s="38" t="n"/>
      <c r="F957" s="38" t="n"/>
      <c r="G957" s="38" t="n"/>
    </row>
    <row r="958" ht="15.75" customHeight="1" s="42">
      <c r="D958" s="38" t="n"/>
      <c r="F958" s="38" t="n"/>
      <c r="G958" s="38" t="n"/>
    </row>
    <row r="959" ht="15.75" customHeight="1" s="42">
      <c r="D959" s="38" t="n"/>
      <c r="F959" s="38" t="n"/>
      <c r="G959" s="38" t="n"/>
    </row>
    <row r="960" ht="15.75" customHeight="1" s="42">
      <c r="D960" s="38" t="n"/>
      <c r="F960" s="38" t="n"/>
      <c r="G960" s="38" t="n"/>
    </row>
    <row r="961" ht="15.75" customHeight="1" s="42">
      <c r="D961" s="38" t="n"/>
      <c r="F961" s="38" t="n"/>
      <c r="G961" s="38" t="n"/>
    </row>
    <row r="962" ht="15.75" customHeight="1" s="42">
      <c r="D962" s="38" t="n"/>
      <c r="F962" s="38" t="n"/>
      <c r="G962" s="38" t="n"/>
    </row>
    <row r="963" ht="15.75" customHeight="1" s="42">
      <c r="D963" s="38" t="n"/>
      <c r="F963" s="38" t="n"/>
      <c r="G963" s="38" t="n"/>
    </row>
    <row r="964" ht="15.75" customHeight="1" s="42">
      <c r="D964" s="38" t="n"/>
      <c r="F964" s="38" t="n"/>
      <c r="G964" s="38" t="n"/>
    </row>
    <row r="965" ht="15.75" customHeight="1" s="42">
      <c r="D965" s="38" t="n"/>
      <c r="F965" s="38" t="n"/>
      <c r="G965" s="38" t="n"/>
    </row>
    <row r="966" ht="15.75" customHeight="1" s="42">
      <c r="D966" s="38" t="n"/>
      <c r="F966" s="38" t="n"/>
      <c r="G966" s="38" t="n"/>
    </row>
    <row r="967" ht="15.75" customHeight="1" s="42">
      <c r="D967" s="38" t="n"/>
      <c r="F967" s="38" t="n"/>
      <c r="G967" s="38" t="n"/>
    </row>
    <row r="968" ht="15.75" customHeight="1" s="42">
      <c r="D968" s="38" t="n"/>
      <c r="F968" s="38" t="n"/>
      <c r="G968" s="38" t="n"/>
    </row>
    <row r="969" ht="15.75" customHeight="1" s="42">
      <c r="D969" s="38" t="n"/>
      <c r="F969" s="38" t="n"/>
      <c r="G969" s="38" t="n"/>
    </row>
    <row r="970" ht="15.75" customHeight="1" s="42">
      <c r="D970" s="38" t="n"/>
      <c r="F970" s="38" t="n"/>
      <c r="G970" s="38" t="n"/>
    </row>
    <row r="971" ht="15.75" customHeight="1" s="42">
      <c r="D971" s="38" t="n"/>
      <c r="F971" s="38" t="n"/>
      <c r="G971" s="38" t="n"/>
    </row>
    <row r="972" ht="15.75" customHeight="1" s="42">
      <c r="D972" s="38" t="n"/>
      <c r="F972" s="38" t="n"/>
      <c r="G972" s="38" t="n"/>
    </row>
    <row r="973" ht="15.75" customHeight="1" s="42">
      <c r="D973" s="38" t="n"/>
      <c r="F973" s="38" t="n"/>
      <c r="G973" s="38" t="n"/>
    </row>
    <row r="974" ht="15.75" customHeight="1" s="42">
      <c r="D974" s="38" t="n"/>
      <c r="F974" s="38" t="n"/>
      <c r="G974" s="38" t="n"/>
    </row>
    <row r="975" ht="15.75" customHeight="1" s="42">
      <c r="D975" s="38" t="n"/>
      <c r="F975" s="38" t="n"/>
      <c r="G975" s="38" t="n"/>
    </row>
    <row r="976" ht="15.75" customHeight="1" s="42">
      <c r="D976" s="38" t="n"/>
      <c r="F976" s="38" t="n"/>
      <c r="G976" s="38" t="n"/>
    </row>
    <row r="977" ht="15.75" customHeight="1" s="42">
      <c r="D977" s="38" t="n"/>
      <c r="F977" s="38" t="n"/>
      <c r="G977" s="38" t="n"/>
    </row>
    <row r="978" ht="15.75" customHeight="1" s="42">
      <c r="D978" s="38" t="n"/>
      <c r="F978" s="38" t="n"/>
      <c r="G978" s="38" t="n"/>
    </row>
    <row r="979" ht="15.75" customHeight="1" s="42">
      <c r="D979" s="38" t="n"/>
      <c r="F979" s="38" t="n"/>
      <c r="G979" s="38" t="n"/>
    </row>
    <row r="980" ht="15.75" customHeight="1" s="42">
      <c r="D980" s="38" t="n"/>
      <c r="F980" s="38" t="n"/>
      <c r="G980" s="38" t="n"/>
    </row>
    <row r="981" ht="15.75" customHeight="1" s="42">
      <c r="D981" s="38" t="n"/>
      <c r="F981" s="38" t="n"/>
      <c r="G981" s="38" t="n"/>
    </row>
    <row r="982" ht="15.75" customHeight="1" s="42">
      <c r="D982" s="38" t="n"/>
      <c r="F982" s="38" t="n"/>
      <c r="G982" s="38" t="n"/>
    </row>
    <row r="983" ht="15.75" customHeight="1" s="42">
      <c r="D983" s="38" t="n"/>
      <c r="F983" s="38" t="n"/>
      <c r="G983" s="38" t="n"/>
    </row>
    <row r="984" ht="15.75" customHeight="1" s="42">
      <c r="D984" s="38" t="n"/>
      <c r="F984" s="38" t="n"/>
      <c r="G984" s="38" t="n"/>
    </row>
    <row r="985" ht="15.75" customHeight="1" s="42">
      <c r="D985" s="38" t="n"/>
      <c r="F985" s="38" t="n"/>
      <c r="G985" s="38" t="n"/>
    </row>
    <row r="986" ht="15.75" customHeight="1" s="42">
      <c r="D986" s="38" t="n"/>
      <c r="F986" s="38" t="n"/>
      <c r="G986" s="38" t="n"/>
    </row>
    <row r="987" ht="15.75" customHeight="1" s="42">
      <c r="D987" s="38" t="n"/>
      <c r="F987" s="38" t="n"/>
      <c r="G987" s="38" t="n"/>
    </row>
    <row r="988" ht="15.75" customHeight="1" s="42">
      <c r="D988" s="38" t="n"/>
      <c r="F988" s="38" t="n"/>
      <c r="G988" s="38" t="n"/>
    </row>
    <row r="989" ht="15.75" customHeight="1" s="42">
      <c r="D989" s="38" t="n"/>
      <c r="F989" s="38" t="n"/>
      <c r="G989" s="38" t="n"/>
    </row>
    <row r="990" ht="15.75" customHeight="1" s="42">
      <c r="D990" s="38" t="n"/>
      <c r="F990" s="38" t="n"/>
      <c r="G990" s="38" t="n"/>
    </row>
    <row r="991" ht="15.75" customHeight="1" s="42">
      <c r="D991" s="38" t="n"/>
      <c r="F991" s="38" t="n"/>
      <c r="G991" s="38" t="n"/>
    </row>
    <row r="992" ht="15.75" customHeight="1" s="42">
      <c r="D992" s="38" t="n"/>
      <c r="F992" s="38" t="n"/>
      <c r="G992" s="38" t="n"/>
    </row>
    <row r="993" ht="15.75" customHeight="1" s="42">
      <c r="D993" s="38" t="n"/>
      <c r="F993" s="38" t="n"/>
      <c r="G993" s="38" t="n"/>
    </row>
    <row r="994" ht="15.75" customHeight="1" s="42">
      <c r="D994" s="38" t="n"/>
      <c r="F994" s="38" t="n"/>
      <c r="G994" s="38" t="n"/>
    </row>
    <row r="995" ht="15.75" customHeight="1" s="42">
      <c r="D995" s="38" t="n"/>
      <c r="F995" s="38" t="n"/>
      <c r="G995" s="38" t="n"/>
    </row>
    <row r="996" ht="15.75" customHeight="1" s="42">
      <c r="D996" s="38" t="n"/>
      <c r="F996" s="38" t="n"/>
      <c r="G996" s="38" t="n"/>
    </row>
    <row r="997" ht="15.75" customHeight="1" s="42">
      <c r="D997" s="38" t="n"/>
      <c r="F997" s="38" t="n"/>
      <c r="G997" s="38" t="n"/>
    </row>
    <row r="998" ht="15.75" customHeight="1" s="42">
      <c r="D998" s="38" t="n"/>
      <c r="F998" s="38" t="n"/>
      <c r="G998" s="38" t="n"/>
    </row>
    <row r="999" ht="15.75" customHeight="1" s="42">
      <c r="D999" s="38" t="n"/>
      <c r="F999" s="38" t="n"/>
      <c r="G999" s="38" t="n"/>
    </row>
    <row r="1000" ht="15.75" customHeight="1" s="42">
      <c r="D1000" s="38" t="n"/>
      <c r="F1000" s="38" t="n"/>
      <c r="G1000" s="38" t="n"/>
    </row>
  </sheetData>
  <dataValidations count="5">
    <dataValidation sqref="F1:F1000" showDropDown="0" showInputMessage="0" showErrorMessage="0" allowBlank="1" type="list">
      <formula1>"플랫폼,카테고리리더,일반경쟁자,tier"</formula1>
    </dataValidation>
    <dataValidation sqref="L2:L287" showDropDown="0" showInputMessage="0" showErrorMessage="0" allowBlank="1" type="list">
      <formula1>"Freemium(프리미엄),Subscription(구독형),Add-on(애드온),Lock-in(락인),Two-sided Market(양면시장),Pay Per Use(사용량과금),Sensor As A Service(센서서비스),Leverage Customer Data(데이터활용),Digitization(디지털전환),Self-service(셀프서비스),Performance-based Contracting(성과기반계약),Razor And Blade(레이저블레"</formula1>
    </dataValidation>
    <dataValidation sqref="C1:C160" showDropDown="0" showInputMessage="0" showErrorMessage="0" allowBlank="1" type="list">
      <formula1>"수면,정신건강,운동,식단,만성질환,여성건강,유전자,미용"</formula1>
    </dataValidation>
    <dataValidation sqref="G1:G1000" showDropDown="0" showInputMessage="0" showErrorMessage="0" allowBlank="1" type="list">
      <formula1>"라이프스타일,생체지표,data_type"</formula1>
    </dataValidation>
    <dataValidation sqref="D1:D1000" showDropDown="0" showInputMessage="0" showErrorMessage="0" allowBlank="1" type="list">
      <formula1>"정보제공,데이터기록관리,매칭연결,개입치료,category_2"</formula1>
    </dataValidation>
  </dataValidation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42" min="1" max="2"/>
    <col width="14" customWidth="1" style="42" min="3" max="3"/>
    <col width="20" customWidth="1" style="42" min="4" max="4"/>
    <col width="16" customWidth="1" style="42" min="5" max="5"/>
    <col width="26" customWidth="1" style="42" min="6" max="6"/>
    <col width="14" customWidth="1" style="42" min="7" max="7"/>
    <col width="16" customWidth="1" style="42" min="8" max="9"/>
    <col width="34" customWidth="1" style="42" min="10" max="10"/>
    <col width="12" customWidth="1" style="42" min="11" max="11"/>
    <col width="14" customWidth="1" style="42" min="12" max="12"/>
    <col width="8.710000000000001" customWidth="1" style="42" min="13" max="26"/>
  </cols>
  <sheetData>
    <row r="1">
      <c r="A1" s="8" t="inlineStr">
        <is>
          <t>mapping_id</t>
        </is>
      </c>
      <c r="B1" s="8" t="inlineStr">
        <is>
          <t>category_1</t>
        </is>
      </c>
      <c r="C1" s="8" t="inlineStr">
        <is>
          <t>category_2</t>
        </is>
      </c>
      <c r="D1" s="8" t="inlineStr">
        <is>
          <t>target</t>
        </is>
      </c>
      <c r="E1" s="8" t="inlineStr">
        <is>
          <t>service_type</t>
        </is>
      </c>
      <c r="F1" s="8" t="inlineStr">
        <is>
          <t>bm_pattern</t>
        </is>
      </c>
      <c r="G1" s="8" t="inlineStr">
        <is>
          <t>frequency_score</t>
        </is>
      </c>
      <c r="H1" s="8" t="inlineStr">
        <is>
          <t>frequency_score_global</t>
        </is>
      </c>
      <c r="I1" s="8" t="inlineStr">
        <is>
          <t>precedent_level</t>
        </is>
      </c>
      <c r="J1" s="8" t="inlineStr">
        <is>
          <t>contributing_competitor_ids</t>
        </is>
      </c>
      <c r="K1" s="8" t="inlineStr">
        <is>
          <t>evidence_id</t>
        </is>
      </c>
      <c r="L1" s="8" t="inlineStr">
        <is>
          <t>last_computed_at</t>
        </is>
      </c>
    </row>
    <row r="2">
      <c r="A2" s="40">
        <f>IF(B2="","","BM"&amp;TEXT(ROW()-1,"000"))</f>
        <v/>
      </c>
      <c r="B2" s="29">
        <f t="array" ref="B2">IFERROR(INDEX(competitors!$C$2:$C$101,MATCH(1,competitors!$R$2:$R$101,0)),"")</f>
        <v/>
      </c>
      <c r="C2" s="29">
        <f t="array" ref="C2">IFERROR(INDEX(competitors!$D$2:$D$101,MATCH(1,competitors!$R$2:$R$101,0)),"")</f>
        <v/>
      </c>
      <c r="D2" s="29">
        <f t="array" ref="D2">IFERROR(INDEX(competitors!$H$2:$H$101,MATCH(1,competitors!$R$2:$R$101,0)),"")</f>
        <v/>
      </c>
      <c r="E2" s="29">
        <f t="array" ref="E2">IFERROR(INDEX(competitors!$I$2:$I$101,MATCH(1,competitors!$R$2:$R$101,0)),"")</f>
        <v/>
      </c>
      <c r="F2" s="29">
        <f t="array" ref="F2">IFERROR(INDEX(competitors!$L$2:$L$101,MATCH(1,competitors!$R$2:$R$101,0)),"")</f>
        <v/>
      </c>
      <c r="G2" s="29">
        <f>IF(B2="","",COUNTIFS(competitors!$C$2:$C$101,B2,competitors!$D$2:$D$101,C2,competitors!$H$2:$H$101,D2,competitors!$I$2:$I$101,E2,competitors!$L$2:$L$101,F2,competitors!$E$2:$E$101,"한국"))</f>
        <v/>
      </c>
      <c r="H2" s="29">
        <f>IF(B2="","",COUNTIFS(competitors!$C$2:$C$101,B2,competitors!$D$2:$D$101,C2,competitors!$H$2:$H$101,D2,competitors!$I$2:$I$101,E2,competitors!$L$2:$L$101,F2))</f>
        <v/>
      </c>
      <c r="I2" s="29">
        <f>IF(B2="","",IF(G2&gt;=5,"많음",IF(G2&gt;=3,"중간",IF(G2&gt;=1,"적음",IF(H2&gt;=1,"가능","어려움")))))</f>
        <v/>
      </c>
      <c r="J2" s="29">
        <f t="array" ref="J2">IF(B2="","",TEXTJOIN(", ",TRUE(),IF((competitors!$C$2:$C$101=B2)*(competitors!$D$2:$D$101=C2)*(competitors!$H$2:$H$101=D2)*(competitors!$I$2:$I$101=E2)*(competitors!$L$2:$L$101=F2),competitors!$B$2:$B$101,"")))</f>
        <v/>
      </c>
      <c r="K2" s="25" t="n"/>
      <c r="L2" s="41">
        <f>IF(B2="","",TODAY())</f>
        <v/>
      </c>
    </row>
    <row r="3">
      <c r="A3" s="40">
        <f>IF(B3="","","BM"&amp;TEXT(ROW()-1,"000"))</f>
        <v/>
      </c>
      <c r="B3" s="29">
        <f t="array" ref="B3">IFERROR(INDEX(competitors!$C$2:$C$101,MATCH(2,competitors!$R$2:$R$101,0)),"")</f>
        <v/>
      </c>
      <c r="C3" s="29">
        <f t="array" ref="C3">IFERROR(INDEX(competitors!$D$2:$D$101,MATCH(2,competitors!$R$2:$R$101,0)),"")</f>
        <v/>
      </c>
      <c r="D3" s="29">
        <f t="array" ref="D3">IFERROR(INDEX(competitors!$H$2:$H$101,MATCH(2,competitors!$R$2:$R$101,0)),"")</f>
        <v/>
      </c>
      <c r="E3" s="29">
        <f t="array" ref="E3">IFERROR(INDEX(competitors!$I$2:$I$101,MATCH(2,competitors!$R$2:$R$101,0)),"")</f>
        <v/>
      </c>
      <c r="F3" s="29">
        <f t="array" ref="F3">IFERROR(INDEX(competitors!$L$2:$L$101,MATCH(2,competitors!$R$2:$R$101,0)),"")</f>
        <v/>
      </c>
      <c r="G3" s="29">
        <f>IF(B3="","",COUNTIFS(competitors!$C$2:$C$101,B3,competitors!$D$2:$D$101,C3,competitors!$H$2:$H$101,D3,competitors!$I$2:$I$101,E3,competitors!$L$2:$L$101,F3,competitors!$E$2:$E$101,"한국"))</f>
        <v/>
      </c>
      <c r="H3" s="29">
        <f>IF(B3="","",COUNTIFS(competitors!$C$2:$C$101,B3,competitors!$D$2:$D$101,C3,competitors!$H$2:$H$101,D3,competitors!$I$2:$I$101,E3,competitors!$L$2:$L$101,F3))</f>
        <v/>
      </c>
      <c r="I3" s="29">
        <f>IF(B3="","",IF(G3&gt;=5,"많음",IF(G3&gt;=3,"중간",IF(G3&gt;=1,"적음",IF(H3&gt;=1,"가능","어려움")))))</f>
        <v/>
      </c>
      <c r="J3" s="29">
        <f t="array" ref="J3">IF(B3="","",TEXTJOIN(", ",TRUE(),IF((competitors!$C$2:$C$101=B3)*(competitors!$D$2:$D$101=C3)*(competitors!$H$2:$H$101=D3)*(competitors!$I$2:$I$101=E3)*(competitors!$L$2:$L$101=F3),competitors!$B$2:$B$101,"")))</f>
        <v/>
      </c>
      <c r="K3" s="25" t="n"/>
      <c r="L3" s="41">
        <f>IF(B3="","",TODAY())</f>
        <v/>
      </c>
    </row>
    <row r="4">
      <c r="A4" s="40">
        <f>IF(B4="","","BM"&amp;TEXT(ROW()-1,"000"))</f>
        <v/>
      </c>
      <c r="B4" s="29">
        <f t="array" ref="B4">IFERROR(INDEX(competitors!$C$2:$C$101,MATCH(3,competitors!$R$2:$R$101,0)),"")</f>
        <v/>
      </c>
      <c r="C4" s="29">
        <f t="array" ref="C4">IFERROR(INDEX(competitors!$D$2:$D$101,MATCH(3,competitors!$R$2:$R$101,0)),"")</f>
        <v/>
      </c>
      <c r="D4" s="29">
        <f t="array" ref="D4">IFERROR(INDEX(competitors!$H$2:$H$101,MATCH(3,competitors!$R$2:$R$101,0)),"")</f>
        <v/>
      </c>
      <c r="E4" s="29">
        <f t="array" ref="E4">IFERROR(INDEX(competitors!$I$2:$I$101,MATCH(3,competitors!$R$2:$R$101,0)),"")</f>
        <v/>
      </c>
      <c r="F4" s="29">
        <f t="array" ref="F4">IFERROR(INDEX(competitors!$L$2:$L$101,MATCH(3,competitors!$R$2:$R$101,0)),"")</f>
        <v/>
      </c>
      <c r="G4" s="29">
        <f>IF(B4="","",COUNTIFS(competitors!$C$2:$C$101,B4,competitors!$D$2:$D$101,C4,competitors!$H$2:$H$101,D4,competitors!$I$2:$I$101,E4,competitors!$L$2:$L$101,F4,competitors!$E$2:$E$101,"한국"))</f>
        <v/>
      </c>
      <c r="H4" s="29">
        <f>IF(B4="","",COUNTIFS(competitors!$C$2:$C$101,B4,competitors!$D$2:$D$101,C4,competitors!$H$2:$H$101,D4,competitors!$I$2:$I$101,E4,competitors!$L$2:$L$101,F4))</f>
        <v/>
      </c>
      <c r="I4" s="29">
        <f>IF(B4="","",IF(G4&gt;=5,"많음",IF(G4&gt;=3,"중간",IF(G4&gt;=1,"적음",IF(H4&gt;=1,"가능","어려움")))))</f>
        <v/>
      </c>
      <c r="J4" s="29">
        <f t="array" ref="J4">IF(B4="","",TEXTJOIN(", ",TRUE(),IF((competitors!$C$2:$C$101=B4)*(competitors!$D$2:$D$101=C4)*(competitors!$H$2:$H$101=D4)*(competitors!$I$2:$I$101=E4)*(competitors!$L$2:$L$101=F4),competitors!$B$2:$B$101,"")))</f>
        <v/>
      </c>
      <c r="K4" s="25" t="n"/>
      <c r="L4" s="41">
        <f>IF(B4="","",TODAY())</f>
        <v/>
      </c>
    </row>
    <row r="5">
      <c r="A5" s="40">
        <f>IF(B5="","","BM"&amp;TEXT(ROW()-1,"000"))</f>
        <v/>
      </c>
      <c r="B5" s="29">
        <f t="array" ref="B5">IFERROR(INDEX(competitors!$C$2:$C$101,MATCH(4,competitors!$R$2:$R$101,0)),"")</f>
        <v/>
      </c>
      <c r="C5" s="29">
        <f t="array" ref="C5">IFERROR(INDEX(competitors!$D$2:$D$101,MATCH(4,competitors!$R$2:$R$101,0)),"")</f>
        <v/>
      </c>
      <c r="D5" s="29">
        <f t="array" ref="D5">IFERROR(INDEX(competitors!$H$2:$H$101,MATCH(4,competitors!$R$2:$R$101,0)),"")</f>
        <v/>
      </c>
      <c r="E5" s="29">
        <f t="array" ref="E5">IFERROR(INDEX(competitors!$I$2:$I$101,MATCH(4,competitors!$R$2:$R$101,0)),"")</f>
        <v/>
      </c>
      <c r="F5" s="29">
        <f t="array" ref="F5">IFERROR(INDEX(competitors!$L$2:$L$101,MATCH(4,competitors!$R$2:$R$101,0)),"")</f>
        <v/>
      </c>
      <c r="G5" s="29">
        <f>IF(B5="","",COUNTIFS(competitors!$C$2:$C$101,B5,competitors!$D$2:$D$101,C5,competitors!$H$2:$H$101,D5,competitors!$I$2:$I$101,E5,competitors!$L$2:$L$101,F5,competitors!$E$2:$E$101,"한국"))</f>
        <v/>
      </c>
      <c r="H5" s="29">
        <f>IF(B5="","",COUNTIFS(competitors!$C$2:$C$101,B5,competitors!$D$2:$D$101,C5,competitors!$H$2:$H$101,D5,competitors!$I$2:$I$101,E5,competitors!$L$2:$L$101,F5))</f>
        <v/>
      </c>
      <c r="I5" s="29">
        <f>IF(B5="","",IF(G5&gt;=5,"많음",IF(G5&gt;=3,"중간",IF(G5&gt;=1,"적음",IF(H5&gt;=1,"가능","어려움")))))</f>
        <v/>
      </c>
      <c r="J5" s="29">
        <f t="array" ref="J5">IF(B5="","",TEXTJOIN(", ",TRUE(),IF((competitors!$C$2:$C$101=B5)*(competitors!$D$2:$D$101=C5)*(competitors!$H$2:$H$101=D5)*(competitors!$I$2:$I$101=E5)*(competitors!$L$2:$L$101=F5),competitors!$B$2:$B$101,"")))</f>
        <v/>
      </c>
      <c r="K5" s="25" t="n"/>
      <c r="L5" s="41">
        <f>IF(B5="","",TODAY())</f>
        <v/>
      </c>
    </row>
    <row r="6">
      <c r="A6" s="40">
        <f>IF(B6="","","BM"&amp;TEXT(ROW()-1,"000"))</f>
        <v/>
      </c>
      <c r="B6" s="29">
        <f t="array" ref="B6">IFERROR(INDEX(competitors!$C$2:$C$101,MATCH(5,competitors!$R$2:$R$101,0)),"")</f>
        <v/>
      </c>
      <c r="C6" s="29">
        <f t="array" ref="C6">IFERROR(INDEX(competitors!$D$2:$D$101,MATCH(5,competitors!$R$2:$R$101,0)),"")</f>
        <v/>
      </c>
      <c r="D6" s="29">
        <f t="array" ref="D6">IFERROR(INDEX(competitors!$H$2:$H$101,MATCH(5,competitors!$R$2:$R$101,0)),"")</f>
        <v/>
      </c>
      <c r="E6" s="29">
        <f t="array" ref="E6">IFERROR(INDEX(competitors!$I$2:$I$101,MATCH(5,competitors!$R$2:$R$101,0)),"")</f>
        <v/>
      </c>
      <c r="F6" s="29">
        <f t="array" ref="F6">IFERROR(INDEX(competitors!$L$2:$L$101,MATCH(5,competitors!$R$2:$R$101,0)),"")</f>
        <v/>
      </c>
      <c r="G6" s="29">
        <f>IF(B6="","",COUNTIFS(competitors!$C$2:$C$101,B6,competitors!$D$2:$D$101,C6,competitors!$H$2:$H$101,D6,competitors!$I$2:$I$101,E6,competitors!$L$2:$L$101,F6,competitors!$E$2:$E$101,"한국"))</f>
        <v/>
      </c>
      <c r="H6" s="29">
        <f>IF(B6="","",COUNTIFS(competitors!$C$2:$C$101,B6,competitors!$D$2:$D$101,C6,competitors!$H$2:$H$101,D6,competitors!$I$2:$I$101,E6,competitors!$L$2:$L$101,F6))</f>
        <v/>
      </c>
      <c r="I6" s="29">
        <f>IF(B6="","",IF(G6&gt;=5,"많음",IF(G6&gt;=3,"중간",IF(G6&gt;=1,"적음",IF(H6&gt;=1,"가능","어려움")))))</f>
        <v/>
      </c>
      <c r="J6" s="29">
        <f t="array" ref="J6">IF(B6="","",TEXTJOIN(", ",TRUE(),IF((competitors!$C$2:$C$101=B6)*(competitors!$D$2:$D$101=C6)*(competitors!$H$2:$H$101=D6)*(competitors!$I$2:$I$101=E6)*(competitors!$L$2:$L$101=F6),competitors!$B$2:$B$101,"")))</f>
        <v/>
      </c>
      <c r="K6" s="25" t="n"/>
      <c r="L6" s="41">
        <f>IF(B6="","",TODAY())</f>
        <v/>
      </c>
    </row>
    <row r="7">
      <c r="A7" s="40">
        <f>IF(B7="","","BM"&amp;TEXT(ROW()-1,"000"))</f>
        <v/>
      </c>
      <c r="B7" s="29">
        <f t="array" ref="B7">IFERROR(INDEX(competitors!$C$2:$C$101,MATCH(6,competitors!$R$2:$R$101,0)),"")</f>
        <v/>
      </c>
      <c r="C7" s="29">
        <f t="array" ref="C7">IFERROR(INDEX(competitors!$D$2:$D$101,MATCH(6,competitors!$R$2:$R$101,0)),"")</f>
        <v/>
      </c>
      <c r="D7" s="29">
        <f t="array" ref="D7">IFERROR(INDEX(competitors!$H$2:$H$101,MATCH(6,competitors!$R$2:$R$101,0)),"")</f>
        <v/>
      </c>
      <c r="E7" s="29">
        <f t="array" ref="E7">IFERROR(INDEX(competitors!$I$2:$I$101,MATCH(6,competitors!$R$2:$R$101,0)),"")</f>
        <v/>
      </c>
      <c r="F7" s="29">
        <f t="array" ref="F7">IFERROR(INDEX(competitors!$L$2:$L$101,MATCH(6,competitors!$R$2:$R$101,0)),"")</f>
        <v/>
      </c>
      <c r="G7" s="29">
        <f>IF(B7="","",COUNTIFS(competitors!$C$2:$C$101,B7,competitors!$D$2:$D$101,C7,competitors!$H$2:$H$101,D7,competitors!$I$2:$I$101,E7,competitors!$L$2:$L$101,F7,competitors!$E$2:$E$101,"한국"))</f>
        <v/>
      </c>
      <c r="H7" s="29">
        <f>IF(B7="","",COUNTIFS(competitors!$C$2:$C$101,B7,competitors!$D$2:$D$101,C7,competitors!$H$2:$H$101,D7,competitors!$I$2:$I$101,E7,competitors!$L$2:$L$101,F7))</f>
        <v/>
      </c>
      <c r="I7" s="29">
        <f>IF(B7="","",IF(G7&gt;=5,"많음",IF(G7&gt;=3,"중간",IF(G7&gt;=1,"적음",IF(H7&gt;=1,"가능","어려움")))))</f>
        <v/>
      </c>
      <c r="J7" s="29">
        <f t="array" ref="J7">IF(B7="","",TEXTJOIN(", ",TRUE(),IF((competitors!$C$2:$C$101=B7)*(competitors!$D$2:$D$101=C7)*(competitors!$H$2:$H$101=D7)*(competitors!$I$2:$I$101=E7)*(competitors!$L$2:$L$101=F7),competitors!$B$2:$B$101,"")))</f>
        <v/>
      </c>
      <c r="K7" s="25" t="n"/>
      <c r="L7" s="41">
        <f>IF(B7="","",TODAY())</f>
        <v/>
      </c>
    </row>
    <row r="8">
      <c r="A8" s="40">
        <f>IF(B8="","","BM"&amp;TEXT(ROW()-1,"000"))</f>
        <v/>
      </c>
      <c r="B8" s="29">
        <f t="array" ref="B8">IFERROR(INDEX(competitors!$C$2:$C$101,MATCH(7,competitors!$R$2:$R$101,0)),"")</f>
        <v/>
      </c>
      <c r="C8" s="29">
        <f t="array" ref="C8">IFERROR(INDEX(competitors!$D$2:$D$101,MATCH(7,competitors!$R$2:$R$101,0)),"")</f>
        <v/>
      </c>
      <c r="D8" s="29">
        <f t="array" ref="D8">IFERROR(INDEX(competitors!$H$2:$H$101,MATCH(7,competitors!$R$2:$R$101,0)),"")</f>
        <v/>
      </c>
      <c r="E8" s="29">
        <f t="array" ref="E8">IFERROR(INDEX(competitors!$I$2:$I$101,MATCH(7,competitors!$R$2:$R$101,0)),"")</f>
        <v/>
      </c>
      <c r="F8" s="29">
        <f t="array" ref="F8">IFERROR(INDEX(competitors!$L$2:$L$101,MATCH(7,competitors!$R$2:$R$101,0)),"")</f>
        <v/>
      </c>
      <c r="G8" s="29">
        <f>IF(B8="","",COUNTIFS(competitors!$C$2:$C$101,B8,competitors!$D$2:$D$101,C8,competitors!$H$2:$H$101,D8,competitors!$I$2:$I$101,E8,competitors!$L$2:$L$101,F8,competitors!$E$2:$E$101,"한국"))</f>
        <v/>
      </c>
      <c r="H8" s="29">
        <f>IF(B8="","",COUNTIFS(competitors!$C$2:$C$101,B8,competitors!$D$2:$D$101,C8,competitors!$H$2:$H$101,D8,competitors!$I$2:$I$101,E8,competitors!$L$2:$L$101,F8))</f>
        <v/>
      </c>
      <c r="I8" s="29">
        <f>IF(B8="","",IF(G8&gt;=5,"많음",IF(G8&gt;=3,"중간",IF(G8&gt;=1,"적음",IF(H8&gt;=1,"가능","어려움")))))</f>
        <v/>
      </c>
      <c r="J8" s="29">
        <f t="array" ref="J8">IF(B8="","",TEXTJOIN(", ",TRUE(),IF((competitors!$C$2:$C$101=B8)*(competitors!$D$2:$D$101=C8)*(competitors!$H$2:$H$101=D8)*(competitors!$I$2:$I$101=E8)*(competitors!$L$2:$L$101=F8),competitors!$B$2:$B$101,"")))</f>
        <v/>
      </c>
      <c r="K8" s="25" t="n"/>
      <c r="L8" s="41">
        <f>IF(B8="","",TODAY())</f>
        <v/>
      </c>
    </row>
    <row r="9">
      <c r="A9" s="40">
        <f>IF(B9="","","BM"&amp;TEXT(ROW()-1,"000"))</f>
        <v/>
      </c>
      <c r="B9" s="29">
        <f t="array" ref="B9">IFERROR(INDEX(competitors!$C$2:$C$101,MATCH(8,competitors!$R$2:$R$101,0)),"")</f>
        <v/>
      </c>
      <c r="C9" s="29">
        <f t="array" ref="C9">IFERROR(INDEX(competitors!$D$2:$D$101,MATCH(8,competitors!$R$2:$R$101,0)),"")</f>
        <v/>
      </c>
      <c r="D9" s="29">
        <f t="array" ref="D9">IFERROR(INDEX(competitors!$H$2:$H$101,MATCH(8,competitors!$R$2:$R$101,0)),"")</f>
        <v/>
      </c>
      <c r="E9" s="29">
        <f t="array" ref="E9">IFERROR(INDEX(competitors!$I$2:$I$101,MATCH(8,competitors!$R$2:$R$101,0)),"")</f>
        <v/>
      </c>
      <c r="F9" s="29">
        <f t="array" ref="F9">IFERROR(INDEX(competitors!$L$2:$L$101,MATCH(8,competitors!$R$2:$R$101,0)),"")</f>
        <v/>
      </c>
      <c r="G9" s="29">
        <f>IF(B9="","",COUNTIFS(competitors!$C$2:$C$101,B9,competitors!$D$2:$D$101,C9,competitors!$H$2:$H$101,D9,competitors!$I$2:$I$101,E9,competitors!$L$2:$L$101,F9,competitors!$E$2:$E$101,"한국"))</f>
        <v/>
      </c>
      <c r="H9" s="29">
        <f>IF(B9="","",COUNTIFS(competitors!$C$2:$C$101,B9,competitors!$D$2:$D$101,C9,competitors!$H$2:$H$101,D9,competitors!$I$2:$I$101,E9,competitors!$L$2:$L$101,F9))</f>
        <v/>
      </c>
      <c r="I9" s="29">
        <f>IF(B9="","",IF(G9&gt;=5,"많음",IF(G9&gt;=3,"중간",IF(G9&gt;=1,"적음",IF(H9&gt;=1,"가능","어려움")))))</f>
        <v/>
      </c>
      <c r="J9" s="29">
        <f t="array" ref="J9">IF(B9="","",TEXTJOIN(", ",TRUE(),IF((competitors!$C$2:$C$101=B9)*(competitors!$D$2:$D$101=C9)*(competitors!$H$2:$H$101=D9)*(competitors!$I$2:$I$101=E9)*(competitors!$L$2:$L$101=F9),competitors!$B$2:$B$101,"")))</f>
        <v/>
      </c>
      <c r="K9" s="25" t="n"/>
      <c r="L9" s="41">
        <f>IF(B9="","",TODAY())</f>
        <v/>
      </c>
    </row>
    <row r="10">
      <c r="A10" s="40">
        <f>IF(B10="","","BM"&amp;TEXT(ROW()-1,"000"))</f>
        <v/>
      </c>
      <c r="B10" s="29">
        <f t="array" ref="B10">IFERROR(INDEX(competitors!$C$2:$C$101,MATCH(9,competitors!$R$2:$R$101,0)),"")</f>
        <v/>
      </c>
      <c r="C10" s="29">
        <f t="array" ref="C10">IFERROR(INDEX(competitors!$D$2:$D$101,MATCH(9,competitors!$R$2:$R$101,0)),"")</f>
        <v/>
      </c>
      <c r="D10" s="29">
        <f t="array" ref="D10">IFERROR(INDEX(competitors!$H$2:$H$101,MATCH(9,competitors!$R$2:$R$101,0)),"")</f>
        <v/>
      </c>
      <c r="E10" s="29">
        <f t="array" ref="E10">IFERROR(INDEX(competitors!$I$2:$I$101,MATCH(9,competitors!$R$2:$R$101,0)),"")</f>
        <v/>
      </c>
      <c r="F10" s="29">
        <f t="array" ref="F10">IFERROR(INDEX(competitors!$L$2:$L$101,MATCH(9,competitors!$R$2:$R$101,0)),"")</f>
        <v/>
      </c>
      <c r="G10" s="29">
        <f>IF(B10="","",COUNTIFS(competitors!$C$2:$C$101,B10,competitors!$D$2:$D$101,C10,competitors!$H$2:$H$101,D10,competitors!$I$2:$I$101,E10,competitors!$L$2:$L$101,F10,competitors!$E$2:$E$101,"한국"))</f>
        <v/>
      </c>
      <c r="H10" s="29">
        <f>IF(B10="","",COUNTIFS(competitors!$C$2:$C$101,B10,competitors!$D$2:$D$101,C10,competitors!$H$2:$H$101,D10,competitors!$I$2:$I$101,E10,competitors!$L$2:$L$101,F10))</f>
        <v/>
      </c>
      <c r="I10" s="29">
        <f>IF(B10="","",IF(G10&gt;=5,"많음",IF(G10&gt;=3,"중간",IF(G10&gt;=1,"적음",IF(H10&gt;=1,"가능","어려움")))))</f>
        <v/>
      </c>
      <c r="J10" s="29">
        <f t="array" ref="J10">IF(B10="","",TEXTJOIN(", ",TRUE(),IF((competitors!$C$2:$C$101=B10)*(competitors!$D$2:$D$101=C10)*(competitors!$H$2:$H$101=D10)*(competitors!$I$2:$I$101=E10)*(competitors!$L$2:$L$101=F10),competitors!$B$2:$B$101,"")))</f>
        <v/>
      </c>
      <c r="K10" s="25" t="n"/>
      <c r="L10" s="41">
        <f>IF(B10="","",TODAY())</f>
        <v/>
      </c>
    </row>
    <row r="11">
      <c r="A11" s="40">
        <f>IF(B11="","","BM"&amp;TEXT(ROW()-1,"000"))</f>
        <v/>
      </c>
      <c r="B11" s="29">
        <f t="array" ref="B11">IFERROR(INDEX(competitors!$C$2:$C$101,MATCH(10,competitors!$R$2:$R$101,0)),"")</f>
        <v/>
      </c>
      <c r="C11" s="29">
        <f t="array" ref="C11">IFERROR(INDEX(competitors!$D$2:$D$101,MATCH(10,competitors!$R$2:$R$101,0)),"")</f>
        <v/>
      </c>
      <c r="D11" s="29">
        <f t="array" ref="D11">IFERROR(INDEX(competitors!$H$2:$H$101,MATCH(10,competitors!$R$2:$R$101,0)),"")</f>
        <v/>
      </c>
      <c r="E11" s="29">
        <f t="array" ref="E11">IFERROR(INDEX(competitors!$I$2:$I$101,MATCH(10,competitors!$R$2:$R$101,0)),"")</f>
        <v/>
      </c>
      <c r="F11" s="29">
        <f t="array" ref="F11">IFERROR(INDEX(competitors!$L$2:$L$101,MATCH(10,competitors!$R$2:$R$101,0)),"")</f>
        <v/>
      </c>
      <c r="G11" s="29">
        <f>IF(B11="","",COUNTIFS(competitors!$C$2:$C$101,B11,competitors!$D$2:$D$101,C11,competitors!$H$2:$H$101,D11,competitors!$I$2:$I$101,E11,competitors!$L$2:$L$101,F11,competitors!$E$2:$E$101,"한국"))</f>
        <v/>
      </c>
      <c r="H11" s="29">
        <f>IF(B11="","",COUNTIFS(competitors!$C$2:$C$101,B11,competitors!$D$2:$D$101,C11,competitors!$H$2:$H$101,D11,competitors!$I$2:$I$101,E11,competitors!$L$2:$L$101,F11))</f>
        <v/>
      </c>
      <c r="I11" s="29">
        <f>IF(B11="","",IF(G11&gt;=5,"많음",IF(G11&gt;=3,"중간",IF(G11&gt;=1,"적음",IF(H11&gt;=1,"가능","어려움")))))</f>
        <v/>
      </c>
      <c r="J11" s="29">
        <f t="array" ref="J11">IF(B11="","",TEXTJOIN(", ",TRUE(),IF((competitors!$C$2:$C$101=B11)*(competitors!$D$2:$D$101=C11)*(competitors!$H$2:$H$101=D11)*(competitors!$I$2:$I$101=E11)*(competitors!$L$2:$L$101=F11),competitors!$B$2:$B$101,"")))</f>
        <v/>
      </c>
      <c r="K11" s="25" t="n"/>
      <c r="L11" s="41">
        <f>IF(B11="","",TODAY())</f>
        <v/>
      </c>
    </row>
    <row r="12">
      <c r="A12" s="40">
        <f>IF(B12="","","BM"&amp;TEXT(ROW()-1,"000"))</f>
        <v/>
      </c>
      <c r="B12" s="29">
        <f t="array" ref="B12">IFERROR(INDEX(competitors!$C$2:$C$101,MATCH(11,competitors!$R$2:$R$101,0)),"")</f>
        <v/>
      </c>
      <c r="C12" s="29">
        <f t="array" ref="C12">IFERROR(INDEX(competitors!$D$2:$D$101,MATCH(11,competitors!$R$2:$R$101,0)),"")</f>
        <v/>
      </c>
      <c r="D12" s="29">
        <f t="array" ref="D12">IFERROR(INDEX(competitors!$H$2:$H$101,MATCH(11,competitors!$R$2:$R$101,0)),"")</f>
        <v/>
      </c>
      <c r="E12" s="29">
        <f t="array" ref="E12">IFERROR(INDEX(competitors!$I$2:$I$101,MATCH(11,competitors!$R$2:$R$101,0)),"")</f>
        <v/>
      </c>
      <c r="F12" s="29">
        <f t="array" ref="F12">IFERROR(INDEX(competitors!$L$2:$L$101,MATCH(11,competitors!$R$2:$R$101,0)),"")</f>
        <v/>
      </c>
      <c r="G12" s="29">
        <f>IF(B12="","",COUNTIFS(competitors!$C$2:$C$101,B12,competitors!$D$2:$D$101,C12,competitors!$H$2:$H$101,D12,competitors!$I$2:$I$101,E12,competitors!$L$2:$L$101,F12,competitors!$E$2:$E$101,"한국"))</f>
        <v/>
      </c>
      <c r="H12" s="29">
        <f>IF(B12="","",COUNTIFS(competitors!$C$2:$C$101,B12,competitors!$D$2:$D$101,C12,competitors!$H$2:$H$101,D12,competitors!$I$2:$I$101,E12,competitors!$L$2:$L$101,F12))</f>
        <v/>
      </c>
      <c r="I12" s="29">
        <f>IF(B12="","",IF(G12&gt;=5,"많음",IF(G12&gt;=3,"중간",IF(G12&gt;=1,"적음",IF(H12&gt;=1,"가능","어려움")))))</f>
        <v/>
      </c>
      <c r="J12" s="29">
        <f t="array" ref="J12">IF(B12="","",TEXTJOIN(", ",TRUE(),IF((competitors!$C$2:$C$101=B12)*(competitors!$D$2:$D$101=C12)*(competitors!$H$2:$H$101=D12)*(competitors!$I$2:$I$101=E12)*(competitors!$L$2:$L$101=F12),competitors!$B$2:$B$101,"")))</f>
        <v/>
      </c>
      <c r="K12" s="25" t="n"/>
      <c r="L12" s="41">
        <f>IF(B12="","",TODAY())</f>
        <v/>
      </c>
    </row>
    <row r="13">
      <c r="A13" s="40">
        <f>IF(B13="","","BM"&amp;TEXT(ROW()-1,"000"))</f>
        <v/>
      </c>
      <c r="B13" s="29">
        <f t="array" ref="B13">IFERROR(INDEX(competitors!$C$2:$C$101,MATCH(12,competitors!$R$2:$R$101,0)),"")</f>
        <v/>
      </c>
      <c r="C13" s="29">
        <f t="array" ref="C13">IFERROR(INDEX(competitors!$D$2:$D$101,MATCH(12,competitors!$R$2:$R$101,0)),"")</f>
        <v/>
      </c>
      <c r="D13" s="29">
        <f t="array" ref="D13">IFERROR(INDEX(competitors!$H$2:$H$101,MATCH(12,competitors!$R$2:$R$101,0)),"")</f>
        <v/>
      </c>
      <c r="E13" s="29">
        <f t="array" ref="E13">IFERROR(INDEX(competitors!$I$2:$I$101,MATCH(12,competitors!$R$2:$R$101,0)),"")</f>
        <v/>
      </c>
      <c r="F13" s="29">
        <f t="array" ref="F13">IFERROR(INDEX(competitors!$L$2:$L$101,MATCH(12,competitors!$R$2:$R$101,0)),"")</f>
        <v/>
      </c>
      <c r="G13" s="29">
        <f>IF(B13="","",COUNTIFS(competitors!$C$2:$C$101,B13,competitors!$D$2:$D$101,C13,competitors!$H$2:$H$101,D13,competitors!$I$2:$I$101,E13,competitors!$L$2:$L$101,F13,competitors!$E$2:$E$101,"한국"))</f>
        <v/>
      </c>
      <c r="H13" s="29">
        <f>IF(B13="","",COUNTIFS(competitors!$C$2:$C$101,B13,competitors!$D$2:$D$101,C13,competitors!$H$2:$H$101,D13,competitors!$I$2:$I$101,E13,competitors!$L$2:$L$101,F13))</f>
        <v/>
      </c>
      <c r="I13" s="29">
        <f>IF(B13="","",IF(G13&gt;=5,"많음",IF(G13&gt;=3,"중간",IF(G13&gt;=1,"적음",IF(H13&gt;=1,"가능","어려움")))))</f>
        <v/>
      </c>
      <c r="J13" s="29">
        <f t="array" ref="J13">IF(B13="","",TEXTJOIN(", ",TRUE(),IF((competitors!$C$2:$C$101=B13)*(competitors!$D$2:$D$101=C13)*(competitors!$H$2:$H$101=D13)*(competitors!$I$2:$I$101=E13)*(competitors!$L$2:$L$101=F13),competitors!$B$2:$B$101,"")))</f>
        <v/>
      </c>
      <c r="K13" s="25" t="n"/>
      <c r="L13" s="41">
        <f>IF(B13="","",TODAY())</f>
        <v/>
      </c>
    </row>
    <row r="14">
      <c r="A14" s="40">
        <f>IF(B14="","","BM"&amp;TEXT(ROW()-1,"000"))</f>
        <v/>
      </c>
      <c r="B14" s="29">
        <f t="array" ref="B14">IFERROR(INDEX(competitors!$C$2:$C$101,MATCH(13,competitors!$R$2:$R$101,0)),"")</f>
        <v/>
      </c>
      <c r="C14" s="29">
        <f t="array" ref="C14">IFERROR(INDEX(competitors!$D$2:$D$101,MATCH(13,competitors!$R$2:$R$101,0)),"")</f>
        <v/>
      </c>
      <c r="D14" s="29">
        <f t="array" ref="D14">IFERROR(INDEX(competitors!$H$2:$H$101,MATCH(13,competitors!$R$2:$R$101,0)),"")</f>
        <v/>
      </c>
      <c r="E14" s="29">
        <f t="array" ref="E14">IFERROR(INDEX(competitors!$I$2:$I$101,MATCH(13,competitors!$R$2:$R$101,0)),"")</f>
        <v/>
      </c>
      <c r="F14" s="29">
        <f t="array" ref="F14">IFERROR(INDEX(competitors!$L$2:$L$101,MATCH(13,competitors!$R$2:$R$101,0)),"")</f>
        <v/>
      </c>
      <c r="G14" s="29">
        <f>IF(B14="","",COUNTIFS(competitors!$C$2:$C$101,B14,competitors!$D$2:$D$101,C14,competitors!$H$2:$H$101,D14,competitors!$I$2:$I$101,E14,competitors!$L$2:$L$101,F14,competitors!$E$2:$E$101,"한국"))</f>
        <v/>
      </c>
      <c r="H14" s="29">
        <f>IF(B14="","",COUNTIFS(competitors!$C$2:$C$101,B14,competitors!$D$2:$D$101,C14,competitors!$H$2:$H$101,D14,competitors!$I$2:$I$101,E14,competitors!$L$2:$L$101,F14))</f>
        <v/>
      </c>
      <c r="I14" s="29">
        <f>IF(B14="","",IF(G14&gt;=5,"많음",IF(G14&gt;=3,"중간",IF(G14&gt;=1,"적음",IF(H14&gt;=1,"가능","어려움")))))</f>
        <v/>
      </c>
      <c r="J14" s="29">
        <f t="array" ref="J14">IF(B14="","",TEXTJOIN(", ",TRUE(),IF((competitors!$C$2:$C$101=B14)*(competitors!$D$2:$D$101=C14)*(competitors!$H$2:$H$101=D14)*(competitors!$I$2:$I$101=E14)*(competitors!$L$2:$L$101=F14),competitors!$B$2:$B$101,"")))</f>
        <v/>
      </c>
      <c r="K14" s="25" t="n"/>
      <c r="L14" s="41">
        <f>IF(B14="","",TODAY())</f>
        <v/>
      </c>
    </row>
    <row r="15">
      <c r="A15" s="40">
        <f>IF(B15="","","BM"&amp;TEXT(ROW()-1,"000"))</f>
        <v/>
      </c>
      <c r="B15" s="29">
        <f t="array" ref="B15">IFERROR(INDEX(competitors!$C$2:$C$101,MATCH(14,competitors!$R$2:$R$101,0)),"")</f>
        <v/>
      </c>
      <c r="C15" s="29">
        <f t="array" ref="C15">IFERROR(INDEX(competitors!$D$2:$D$101,MATCH(14,competitors!$R$2:$R$101,0)),"")</f>
        <v/>
      </c>
      <c r="D15" s="29">
        <f t="array" ref="D15">IFERROR(INDEX(competitors!$H$2:$H$101,MATCH(14,competitors!$R$2:$R$101,0)),"")</f>
        <v/>
      </c>
      <c r="E15" s="29">
        <f t="array" ref="E15">IFERROR(INDEX(competitors!$I$2:$I$101,MATCH(14,competitors!$R$2:$R$101,0)),"")</f>
        <v/>
      </c>
      <c r="F15" s="29">
        <f t="array" ref="F15">IFERROR(INDEX(competitors!$L$2:$L$101,MATCH(14,competitors!$R$2:$R$101,0)),"")</f>
        <v/>
      </c>
      <c r="G15" s="29">
        <f>IF(B15="","",COUNTIFS(competitors!$C$2:$C$101,B15,competitors!$D$2:$D$101,C15,competitors!$H$2:$H$101,D15,competitors!$I$2:$I$101,E15,competitors!$L$2:$L$101,F15,competitors!$E$2:$E$101,"한국"))</f>
        <v/>
      </c>
      <c r="H15" s="29">
        <f>IF(B15="","",COUNTIFS(competitors!$C$2:$C$101,B15,competitors!$D$2:$D$101,C15,competitors!$H$2:$H$101,D15,competitors!$I$2:$I$101,E15,competitors!$L$2:$L$101,F15))</f>
        <v/>
      </c>
      <c r="I15" s="29">
        <f>IF(B15="","",IF(G15&gt;=5,"많음",IF(G15&gt;=3,"중간",IF(G15&gt;=1,"적음",IF(H15&gt;=1,"가능","어려움")))))</f>
        <v/>
      </c>
      <c r="J15" s="29">
        <f t="array" ref="J15">IF(B15="","",TEXTJOIN(", ",TRUE(),IF((competitors!$C$2:$C$101=B15)*(competitors!$D$2:$D$101=C15)*(competitors!$H$2:$H$101=D15)*(competitors!$I$2:$I$101=E15)*(competitors!$L$2:$L$101=F15),competitors!$B$2:$B$101,"")))</f>
        <v/>
      </c>
      <c r="K15" s="25" t="n"/>
      <c r="L15" s="41">
        <f>IF(B15="","",TODAY())</f>
        <v/>
      </c>
    </row>
    <row r="16">
      <c r="A16" s="40">
        <f>IF(B16="","","BM"&amp;TEXT(ROW()-1,"000"))</f>
        <v/>
      </c>
      <c r="B16" s="29">
        <f t="array" ref="B16">IFERROR(INDEX(competitors!$C$2:$C$101,MATCH(15,competitors!$R$2:$R$101,0)),"")</f>
        <v/>
      </c>
      <c r="C16" s="29">
        <f t="array" ref="C16">IFERROR(INDEX(competitors!$D$2:$D$101,MATCH(15,competitors!$R$2:$R$101,0)),"")</f>
        <v/>
      </c>
      <c r="D16" s="29">
        <f t="array" ref="D16">IFERROR(INDEX(competitors!$H$2:$H$101,MATCH(15,competitors!$R$2:$R$101,0)),"")</f>
        <v/>
      </c>
      <c r="E16" s="29">
        <f t="array" ref="E16">IFERROR(INDEX(competitors!$I$2:$I$101,MATCH(15,competitors!$R$2:$R$101,0)),"")</f>
        <v/>
      </c>
      <c r="F16" s="29">
        <f t="array" ref="F16">IFERROR(INDEX(competitors!$L$2:$L$101,MATCH(15,competitors!$R$2:$R$101,0)),"")</f>
        <v/>
      </c>
      <c r="G16" s="29">
        <f>IF(B16="","",COUNTIFS(competitors!$C$2:$C$101,B16,competitors!$D$2:$D$101,C16,competitors!$H$2:$H$101,D16,competitors!$I$2:$I$101,E16,competitors!$L$2:$L$101,F16,competitors!$E$2:$E$101,"한국"))</f>
        <v/>
      </c>
      <c r="H16" s="29">
        <f>IF(B16="","",COUNTIFS(competitors!$C$2:$C$101,B16,competitors!$D$2:$D$101,C16,competitors!$H$2:$H$101,D16,competitors!$I$2:$I$101,E16,competitors!$L$2:$L$101,F16))</f>
        <v/>
      </c>
      <c r="I16" s="29">
        <f>IF(B16="","",IF(G16&gt;=5,"많음",IF(G16&gt;=3,"중간",IF(G16&gt;=1,"적음",IF(H16&gt;=1,"가능","어려움")))))</f>
        <v/>
      </c>
      <c r="J16" s="29">
        <f t="array" ref="J16">IF(B16="","",TEXTJOIN(", ",TRUE(),IF((competitors!$C$2:$C$101=B16)*(competitors!$D$2:$D$101=C16)*(competitors!$H$2:$H$101=D16)*(competitors!$I$2:$I$101=E16)*(competitors!$L$2:$L$101=F16),competitors!$B$2:$B$101,"")))</f>
        <v/>
      </c>
      <c r="K16" s="25" t="n"/>
      <c r="L16" s="41">
        <f>IF(B16="","",TODAY())</f>
        <v/>
      </c>
    </row>
    <row r="17">
      <c r="A17" s="40">
        <f>IF(B17="","","BM"&amp;TEXT(ROW()-1,"000"))</f>
        <v/>
      </c>
      <c r="B17" s="29">
        <f t="array" ref="B17">IFERROR(INDEX(competitors!$C$2:$C$101,MATCH(16,competitors!$R$2:$R$101,0)),"")</f>
        <v/>
      </c>
      <c r="C17" s="29">
        <f t="array" ref="C17">IFERROR(INDEX(competitors!$D$2:$D$101,MATCH(16,competitors!$R$2:$R$101,0)),"")</f>
        <v/>
      </c>
      <c r="D17" s="29">
        <f t="array" ref="D17">IFERROR(INDEX(competitors!$H$2:$H$101,MATCH(16,competitors!$R$2:$R$101,0)),"")</f>
        <v/>
      </c>
      <c r="E17" s="29">
        <f t="array" ref="E17">IFERROR(INDEX(competitors!$I$2:$I$101,MATCH(16,competitors!$R$2:$R$101,0)),"")</f>
        <v/>
      </c>
      <c r="F17" s="29">
        <f t="array" ref="F17">IFERROR(INDEX(competitors!$L$2:$L$101,MATCH(16,competitors!$R$2:$R$101,0)),"")</f>
        <v/>
      </c>
      <c r="G17" s="29">
        <f>IF(B17="","",COUNTIFS(competitors!$C$2:$C$101,B17,competitors!$D$2:$D$101,C17,competitors!$H$2:$H$101,D17,competitors!$I$2:$I$101,E17,competitors!$L$2:$L$101,F17,competitors!$E$2:$E$101,"한국"))</f>
        <v/>
      </c>
      <c r="H17" s="29">
        <f>IF(B17="","",COUNTIFS(competitors!$C$2:$C$101,B17,competitors!$D$2:$D$101,C17,competitors!$H$2:$H$101,D17,competitors!$I$2:$I$101,E17,competitors!$L$2:$L$101,F17))</f>
        <v/>
      </c>
      <c r="I17" s="29">
        <f>IF(B17="","",IF(G17&gt;=5,"많음",IF(G17&gt;=3,"중간",IF(G17&gt;=1,"적음",IF(H17&gt;=1,"가능","어려움")))))</f>
        <v/>
      </c>
      <c r="J17" s="29">
        <f t="array" ref="J17">IF(B17="","",TEXTJOIN(", ",TRUE(),IF((competitors!$C$2:$C$101=B17)*(competitors!$D$2:$D$101=C17)*(competitors!$H$2:$H$101=D17)*(competitors!$I$2:$I$101=E17)*(competitors!$L$2:$L$101=F17),competitors!$B$2:$B$101,"")))</f>
        <v/>
      </c>
      <c r="K17" s="25" t="n"/>
      <c r="L17" s="41">
        <f>IF(B17="","",TODAY())</f>
        <v/>
      </c>
    </row>
    <row r="18">
      <c r="A18" s="40">
        <f>IF(B18="","","BM"&amp;TEXT(ROW()-1,"000"))</f>
        <v/>
      </c>
      <c r="B18" s="29">
        <f t="array" ref="B18">IFERROR(INDEX(competitors!$C$2:$C$101,MATCH(17,competitors!$R$2:$R$101,0)),"")</f>
        <v/>
      </c>
      <c r="C18" s="29">
        <f t="array" ref="C18">IFERROR(INDEX(competitors!$D$2:$D$101,MATCH(17,competitors!$R$2:$R$101,0)),"")</f>
        <v/>
      </c>
      <c r="D18" s="29">
        <f t="array" ref="D18">IFERROR(INDEX(competitors!$H$2:$H$101,MATCH(17,competitors!$R$2:$R$101,0)),"")</f>
        <v/>
      </c>
      <c r="E18" s="29">
        <f t="array" ref="E18">IFERROR(INDEX(competitors!$I$2:$I$101,MATCH(17,competitors!$R$2:$R$101,0)),"")</f>
        <v/>
      </c>
      <c r="F18" s="29">
        <f t="array" ref="F18">IFERROR(INDEX(competitors!$L$2:$L$101,MATCH(17,competitors!$R$2:$R$101,0)),"")</f>
        <v/>
      </c>
      <c r="G18" s="29">
        <f>IF(B18="","",COUNTIFS(competitors!$C$2:$C$101,B18,competitors!$D$2:$D$101,C18,competitors!$H$2:$H$101,D18,competitors!$I$2:$I$101,E18,competitors!$L$2:$L$101,F18,competitors!$E$2:$E$101,"한국"))</f>
        <v/>
      </c>
      <c r="H18" s="29">
        <f>IF(B18="","",COUNTIFS(competitors!$C$2:$C$101,B18,competitors!$D$2:$D$101,C18,competitors!$H$2:$H$101,D18,competitors!$I$2:$I$101,E18,competitors!$L$2:$L$101,F18))</f>
        <v/>
      </c>
      <c r="I18" s="29">
        <f>IF(B18="","",IF(G18&gt;=5,"많음",IF(G18&gt;=3,"중간",IF(G18&gt;=1,"적음",IF(H18&gt;=1,"가능","어려움")))))</f>
        <v/>
      </c>
      <c r="J18" s="29">
        <f t="array" ref="J18">IF(B18="","",TEXTJOIN(", ",TRUE(),IF((competitors!$C$2:$C$101=B18)*(competitors!$D$2:$D$101=C18)*(competitors!$H$2:$H$101=D18)*(competitors!$I$2:$I$101=E18)*(competitors!$L$2:$L$101=F18),competitors!$B$2:$B$101,"")))</f>
        <v/>
      </c>
      <c r="K18" s="25" t="n"/>
      <c r="L18" s="41">
        <f>IF(B18="","",TODAY())</f>
        <v/>
      </c>
    </row>
    <row r="19">
      <c r="A19" s="40">
        <f>IF(B19="","","BM"&amp;TEXT(ROW()-1,"000"))</f>
        <v/>
      </c>
      <c r="B19" s="29">
        <f t="array" ref="B19">IFERROR(INDEX(competitors!$C$2:$C$101,MATCH(18,competitors!$R$2:$R$101,0)),"")</f>
        <v/>
      </c>
      <c r="C19" s="29">
        <f t="array" ref="C19">IFERROR(INDEX(competitors!$D$2:$D$101,MATCH(18,competitors!$R$2:$R$101,0)),"")</f>
        <v/>
      </c>
      <c r="D19" s="29">
        <f t="array" ref="D19">IFERROR(INDEX(competitors!$H$2:$H$101,MATCH(18,competitors!$R$2:$R$101,0)),"")</f>
        <v/>
      </c>
      <c r="E19" s="29">
        <f t="array" ref="E19">IFERROR(INDEX(competitors!$I$2:$I$101,MATCH(18,competitors!$R$2:$R$101,0)),"")</f>
        <v/>
      </c>
      <c r="F19" s="29">
        <f t="array" ref="F19">IFERROR(INDEX(competitors!$L$2:$L$101,MATCH(18,competitors!$R$2:$R$101,0)),"")</f>
        <v/>
      </c>
      <c r="G19" s="29">
        <f>IF(B19="","",COUNTIFS(competitors!$C$2:$C$101,B19,competitors!$D$2:$D$101,C19,competitors!$H$2:$H$101,D19,competitors!$I$2:$I$101,E19,competitors!$L$2:$L$101,F19,competitors!$E$2:$E$101,"한국"))</f>
        <v/>
      </c>
      <c r="H19" s="29">
        <f>IF(B19="","",COUNTIFS(competitors!$C$2:$C$101,B19,competitors!$D$2:$D$101,C19,competitors!$H$2:$H$101,D19,competitors!$I$2:$I$101,E19,competitors!$L$2:$L$101,F19))</f>
        <v/>
      </c>
      <c r="I19" s="29">
        <f>IF(B19="","",IF(G19&gt;=5,"많음",IF(G19&gt;=3,"중간",IF(G19&gt;=1,"적음",IF(H19&gt;=1,"가능","어려움")))))</f>
        <v/>
      </c>
      <c r="J19" s="29">
        <f t="array" ref="J19">IF(B19="","",TEXTJOIN(", ",TRUE(),IF((competitors!$C$2:$C$101=B19)*(competitors!$D$2:$D$101=C19)*(competitors!$H$2:$H$101=D19)*(competitors!$I$2:$I$101=E19)*(competitors!$L$2:$L$101=F19),competitors!$B$2:$B$101,"")))</f>
        <v/>
      </c>
      <c r="K19" s="25" t="n"/>
      <c r="L19" s="41">
        <f>IF(B19="","",TODAY())</f>
        <v/>
      </c>
    </row>
    <row r="20">
      <c r="A20" s="40">
        <f>IF(B20="","","BM"&amp;TEXT(ROW()-1,"000"))</f>
        <v/>
      </c>
      <c r="B20" s="29">
        <f t="array" ref="B20">IFERROR(INDEX(competitors!$C$2:$C$101,MATCH(19,competitors!$R$2:$R$101,0)),"")</f>
        <v/>
      </c>
      <c r="C20" s="29">
        <f t="array" ref="C20">IFERROR(INDEX(competitors!$D$2:$D$101,MATCH(19,competitors!$R$2:$R$101,0)),"")</f>
        <v/>
      </c>
      <c r="D20" s="29">
        <f t="array" ref="D20">IFERROR(INDEX(competitors!$H$2:$H$101,MATCH(19,competitors!$R$2:$R$101,0)),"")</f>
        <v/>
      </c>
      <c r="E20" s="29">
        <f t="array" ref="E20">IFERROR(INDEX(competitors!$I$2:$I$101,MATCH(19,competitors!$R$2:$R$101,0)),"")</f>
        <v/>
      </c>
      <c r="F20" s="29">
        <f t="array" ref="F20">IFERROR(INDEX(competitors!$L$2:$L$101,MATCH(19,competitors!$R$2:$R$101,0)),"")</f>
        <v/>
      </c>
      <c r="G20" s="29">
        <f>IF(B20="","",COUNTIFS(competitors!$C$2:$C$101,B20,competitors!$D$2:$D$101,C20,competitors!$H$2:$H$101,D20,competitors!$I$2:$I$101,E20,competitors!$L$2:$L$101,F20,competitors!$E$2:$E$101,"한국"))</f>
        <v/>
      </c>
      <c r="H20" s="29">
        <f>IF(B20="","",COUNTIFS(competitors!$C$2:$C$101,B20,competitors!$D$2:$D$101,C20,competitors!$H$2:$H$101,D20,competitors!$I$2:$I$101,E20,competitors!$L$2:$L$101,F20))</f>
        <v/>
      </c>
      <c r="I20" s="29">
        <f>IF(B20="","",IF(G20&gt;=5,"많음",IF(G20&gt;=3,"중간",IF(G20&gt;=1,"적음",IF(H20&gt;=1,"가능","어려움")))))</f>
        <v/>
      </c>
      <c r="J20" s="29">
        <f t="array" ref="J20">IF(B20="","",TEXTJOIN(", ",TRUE(),IF((competitors!$C$2:$C$101=B20)*(competitors!$D$2:$D$101=C20)*(competitors!$H$2:$H$101=D20)*(competitors!$I$2:$I$101=E20)*(competitors!$L$2:$L$101=F20),competitors!$B$2:$B$101,"")))</f>
        <v/>
      </c>
      <c r="K20" s="25" t="n"/>
      <c r="L20" s="41">
        <f>IF(B20="","",TODAY())</f>
        <v/>
      </c>
    </row>
    <row r="21" ht="15.75" customHeight="1" s="42">
      <c r="A21" s="40">
        <f>IF(B21="","","BM"&amp;TEXT(ROW()-1,"000"))</f>
        <v/>
      </c>
      <c r="B21" s="29">
        <f t="array" ref="B21">IFERROR(INDEX(competitors!$C$2:$C$101,MATCH(20,competitors!$R$2:$R$101,0)),"")</f>
        <v/>
      </c>
      <c r="C21" s="29">
        <f t="array" ref="C21">IFERROR(INDEX(competitors!$D$2:$D$101,MATCH(20,competitors!$R$2:$R$101,0)),"")</f>
        <v/>
      </c>
      <c r="D21" s="29">
        <f t="array" ref="D21">IFERROR(INDEX(competitors!$H$2:$H$101,MATCH(20,competitors!$R$2:$R$101,0)),"")</f>
        <v/>
      </c>
      <c r="E21" s="29">
        <f t="array" ref="E21">IFERROR(INDEX(competitors!$I$2:$I$101,MATCH(20,competitors!$R$2:$R$101,0)),"")</f>
        <v/>
      </c>
      <c r="F21" s="29">
        <f t="array" ref="F21">IFERROR(INDEX(competitors!$L$2:$L$101,MATCH(20,competitors!$R$2:$R$101,0)),"")</f>
        <v/>
      </c>
      <c r="G21" s="29">
        <f>IF(B21="","",COUNTIFS(competitors!$C$2:$C$101,B21,competitors!$D$2:$D$101,C21,competitors!$H$2:$H$101,D21,competitors!$I$2:$I$101,E21,competitors!$L$2:$L$101,F21,competitors!$E$2:$E$101,"한국"))</f>
        <v/>
      </c>
      <c r="H21" s="29">
        <f>IF(B21="","",COUNTIFS(competitors!$C$2:$C$101,B21,competitors!$D$2:$D$101,C21,competitors!$H$2:$H$101,D21,competitors!$I$2:$I$101,E21,competitors!$L$2:$L$101,F21))</f>
        <v/>
      </c>
      <c r="I21" s="29">
        <f>IF(B21="","",IF(G21&gt;=5,"많음",IF(G21&gt;=3,"중간",IF(G21&gt;=1,"적음",IF(H21&gt;=1,"가능","어려움")))))</f>
        <v/>
      </c>
      <c r="J21" s="29">
        <f t="array" ref="J21">IF(B21="","",TEXTJOIN(", ",TRUE(),IF((competitors!$C$2:$C$101=B21)*(competitors!$D$2:$D$101=C21)*(competitors!$H$2:$H$101=D21)*(competitors!$I$2:$I$101=E21)*(competitors!$L$2:$L$101=F21),competitors!$B$2:$B$101,"")))</f>
        <v/>
      </c>
      <c r="K21" s="25" t="n"/>
      <c r="L21" s="41">
        <f>IF(B21="","",TODAY())</f>
        <v/>
      </c>
    </row>
    <row r="22" ht="15.75" customHeight="1" s="42">
      <c r="A22" s="40">
        <f>IF(B22="","","BM"&amp;TEXT(ROW()-1,"000"))</f>
        <v/>
      </c>
      <c r="B22" s="29">
        <f t="array" ref="B22">IFERROR(INDEX(competitors!$C$2:$C$101,MATCH(21,competitors!$R$2:$R$101,0)),"")</f>
        <v/>
      </c>
      <c r="C22" s="29">
        <f t="array" ref="C22">IFERROR(INDEX(competitors!$D$2:$D$101,MATCH(21,competitors!$R$2:$R$101,0)),"")</f>
        <v/>
      </c>
      <c r="D22" s="29">
        <f t="array" ref="D22">IFERROR(INDEX(competitors!$H$2:$H$101,MATCH(21,competitors!$R$2:$R$101,0)),"")</f>
        <v/>
      </c>
      <c r="E22" s="29">
        <f t="array" ref="E22">IFERROR(INDEX(competitors!$I$2:$I$101,MATCH(21,competitors!$R$2:$R$101,0)),"")</f>
        <v/>
      </c>
      <c r="F22" s="29">
        <f t="array" ref="F22">IFERROR(INDEX(competitors!$L$2:$L$101,MATCH(21,competitors!$R$2:$R$101,0)),"")</f>
        <v/>
      </c>
      <c r="G22" s="29">
        <f>IF(B22="","",COUNTIFS(competitors!$C$2:$C$101,B22,competitors!$D$2:$D$101,C22,competitors!$H$2:$H$101,D22,competitors!$I$2:$I$101,E22,competitors!$L$2:$L$101,F22,competitors!$E$2:$E$101,"한국"))</f>
        <v/>
      </c>
      <c r="H22" s="29">
        <f>IF(B22="","",COUNTIFS(competitors!$C$2:$C$101,B22,competitors!$D$2:$D$101,C22,competitors!$H$2:$H$101,D22,competitors!$I$2:$I$101,E22,competitors!$L$2:$L$101,F22))</f>
        <v/>
      </c>
      <c r="I22" s="29">
        <f>IF(B22="","",IF(G22&gt;=5,"많음",IF(G22&gt;=3,"중간",IF(G22&gt;=1,"적음",IF(H22&gt;=1,"가능","어려움")))))</f>
        <v/>
      </c>
      <c r="J22" s="29">
        <f t="array" ref="J22">IF(B22="","",TEXTJOIN(", ",TRUE(),IF((competitors!$C$2:$C$101=B22)*(competitors!$D$2:$D$101=C22)*(competitors!$H$2:$H$101=D22)*(competitors!$I$2:$I$101=E22)*(competitors!$L$2:$L$101=F22),competitors!$B$2:$B$101,"")))</f>
        <v/>
      </c>
      <c r="K22" s="25" t="n"/>
      <c r="L22" s="41">
        <f>IF(B22="","",TODAY())</f>
        <v/>
      </c>
    </row>
    <row r="23" ht="15.75" customHeight="1" s="42">
      <c r="A23" s="40">
        <f>IF(B23="","","BM"&amp;TEXT(ROW()-1,"000"))</f>
        <v/>
      </c>
      <c r="B23" s="29">
        <f t="array" ref="B23">IFERROR(INDEX(competitors!$C$2:$C$101,MATCH(22,competitors!$R$2:$R$101,0)),"")</f>
        <v/>
      </c>
      <c r="C23" s="29">
        <f t="array" ref="C23">IFERROR(INDEX(competitors!$D$2:$D$101,MATCH(22,competitors!$R$2:$R$101,0)),"")</f>
        <v/>
      </c>
      <c r="D23" s="29">
        <f t="array" ref="D23">IFERROR(INDEX(competitors!$H$2:$H$101,MATCH(22,competitors!$R$2:$R$101,0)),"")</f>
        <v/>
      </c>
      <c r="E23" s="29">
        <f t="array" ref="E23">IFERROR(INDEX(competitors!$I$2:$I$101,MATCH(22,competitors!$R$2:$R$101,0)),"")</f>
        <v/>
      </c>
      <c r="F23" s="29">
        <f t="array" ref="F23">IFERROR(INDEX(competitors!$L$2:$L$101,MATCH(22,competitors!$R$2:$R$101,0)),"")</f>
        <v/>
      </c>
      <c r="G23" s="29">
        <f>IF(B23="","",COUNTIFS(competitors!$C$2:$C$101,B23,competitors!$D$2:$D$101,C23,competitors!$H$2:$H$101,D23,competitors!$I$2:$I$101,E23,competitors!$L$2:$L$101,F23,competitors!$E$2:$E$101,"한국"))</f>
        <v/>
      </c>
      <c r="H23" s="29">
        <f>IF(B23="","",COUNTIFS(competitors!$C$2:$C$101,B23,competitors!$D$2:$D$101,C23,competitors!$H$2:$H$101,D23,competitors!$I$2:$I$101,E23,competitors!$L$2:$L$101,F23))</f>
        <v/>
      </c>
      <c r="I23" s="29">
        <f>IF(B23="","",IF(G23&gt;=5,"많음",IF(G23&gt;=3,"중간",IF(G23&gt;=1,"적음",IF(H23&gt;=1,"가능","어려움")))))</f>
        <v/>
      </c>
      <c r="J23" s="29">
        <f t="array" ref="J23">IF(B23="","",TEXTJOIN(", ",TRUE(),IF((competitors!$C$2:$C$101=B23)*(competitors!$D$2:$D$101=C23)*(competitors!$H$2:$H$101=D23)*(competitors!$I$2:$I$101=E23)*(competitors!$L$2:$L$101=F23),competitors!$B$2:$B$101,"")))</f>
        <v/>
      </c>
      <c r="K23" s="25" t="n"/>
      <c r="L23" s="41">
        <f>IF(B23="","",TODAY())</f>
        <v/>
      </c>
    </row>
    <row r="24" ht="15.75" customHeight="1" s="42">
      <c r="A24" s="40">
        <f>IF(B24="","","BM"&amp;TEXT(ROW()-1,"000"))</f>
        <v/>
      </c>
      <c r="B24" s="29">
        <f t="array" ref="B24">IFERROR(INDEX(competitors!$C$2:$C$101,MATCH(23,competitors!$R$2:$R$101,0)),"")</f>
        <v/>
      </c>
      <c r="C24" s="29">
        <f t="array" ref="C24">IFERROR(INDEX(competitors!$D$2:$D$101,MATCH(23,competitors!$R$2:$R$101,0)),"")</f>
        <v/>
      </c>
      <c r="D24" s="29">
        <f t="array" ref="D24">IFERROR(INDEX(competitors!$H$2:$H$101,MATCH(23,competitors!$R$2:$R$101,0)),"")</f>
        <v/>
      </c>
      <c r="E24" s="29">
        <f t="array" ref="E24">IFERROR(INDEX(competitors!$I$2:$I$101,MATCH(23,competitors!$R$2:$R$101,0)),"")</f>
        <v/>
      </c>
      <c r="F24" s="29">
        <f t="array" ref="F24">IFERROR(INDEX(competitors!$L$2:$L$101,MATCH(23,competitors!$R$2:$R$101,0)),"")</f>
        <v/>
      </c>
      <c r="G24" s="29">
        <f>IF(B24="","",COUNTIFS(competitors!$C$2:$C$101,B24,competitors!$D$2:$D$101,C24,competitors!$H$2:$H$101,D24,competitors!$I$2:$I$101,E24,competitors!$L$2:$L$101,F24,competitors!$E$2:$E$101,"한국"))</f>
        <v/>
      </c>
      <c r="H24" s="29">
        <f>IF(B24="","",COUNTIFS(competitors!$C$2:$C$101,B24,competitors!$D$2:$D$101,C24,competitors!$H$2:$H$101,D24,competitors!$I$2:$I$101,E24,competitors!$L$2:$L$101,F24))</f>
        <v/>
      </c>
      <c r="I24" s="29">
        <f>IF(B24="","",IF(G24&gt;=5,"많음",IF(G24&gt;=3,"중간",IF(G24&gt;=1,"적음",IF(H24&gt;=1,"가능","어려움")))))</f>
        <v/>
      </c>
      <c r="J24" s="29">
        <f t="array" ref="J24">IF(B24="","",TEXTJOIN(", ",TRUE(),IF((competitors!$C$2:$C$101=B24)*(competitors!$D$2:$D$101=C24)*(competitors!$H$2:$H$101=D24)*(competitors!$I$2:$I$101=E24)*(competitors!$L$2:$L$101=F24),competitors!$B$2:$B$101,"")))</f>
        <v/>
      </c>
      <c r="K24" s="25" t="n"/>
      <c r="L24" s="41">
        <f>IF(B24="","",TODAY())</f>
        <v/>
      </c>
    </row>
    <row r="25" ht="15.75" customHeight="1" s="42">
      <c r="A25" s="40">
        <f>IF(B25="","","BM"&amp;TEXT(ROW()-1,"000"))</f>
        <v/>
      </c>
      <c r="B25" s="29">
        <f t="array" ref="B25">IFERROR(INDEX(competitors!$C$2:$C$101,MATCH(24,competitors!$R$2:$R$101,0)),"")</f>
        <v/>
      </c>
      <c r="C25" s="29">
        <f t="array" ref="C25">IFERROR(INDEX(competitors!$D$2:$D$101,MATCH(24,competitors!$R$2:$R$101,0)),"")</f>
        <v/>
      </c>
      <c r="D25" s="29">
        <f t="array" ref="D25">IFERROR(INDEX(competitors!$H$2:$H$101,MATCH(24,competitors!$R$2:$R$101,0)),"")</f>
        <v/>
      </c>
      <c r="E25" s="29">
        <f t="array" ref="E25">IFERROR(INDEX(competitors!$I$2:$I$101,MATCH(24,competitors!$R$2:$R$101,0)),"")</f>
        <v/>
      </c>
      <c r="F25" s="29">
        <f t="array" ref="F25">IFERROR(INDEX(competitors!$L$2:$L$101,MATCH(24,competitors!$R$2:$R$101,0)),"")</f>
        <v/>
      </c>
      <c r="G25" s="29">
        <f>IF(B25="","",COUNTIFS(competitors!$C$2:$C$101,B25,competitors!$D$2:$D$101,C25,competitors!$H$2:$H$101,D25,competitors!$I$2:$I$101,E25,competitors!$L$2:$L$101,F25,competitors!$E$2:$E$101,"한국"))</f>
        <v/>
      </c>
      <c r="H25" s="29">
        <f>IF(B25="","",COUNTIFS(competitors!$C$2:$C$101,B25,competitors!$D$2:$D$101,C25,competitors!$H$2:$H$101,D25,competitors!$I$2:$I$101,E25,competitors!$L$2:$L$101,F25))</f>
        <v/>
      </c>
      <c r="I25" s="29">
        <f>IF(B25="","",IF(G25&gt;=5,"많음",IF(G25&gt;=3,"중간",IF(G25&gt;=1,"적음",IF(H25&gt;=1,"가능","어려움")))))</f>
        <v/>
      </c>
      <c r="J25" s="29">
        <f t="array" ref="J25">IF(B25="","",TEXTJOIN(", ",TRUE(),IF((competitors!$C$2:$C$101=B25)*(competitors!$D$2:$D$101=C25)*(competitors!$H$2:$H$101=D25)*(competitors!$I$2:$I$101=E25)*(competitors!$L$2:$L$101=F25),competitors!$B$2:$B$101,"")))</f>
        <v/>
      </c>
      <c r="K25" s="25" t="n"/>
      <c r="L25" s="41">
        <f>IF(B25="","",TODAY())</f>
        <v/>
      </c>
    </row>
    <row r="26" ht="15.75" customHeight="1" s="42">
      <c r="A26" s="40">
        <f>IF(B26="","","BM"&amp;TEXT(ROW()-1,"000"))</f>
        <v/>
      </c>
      <c r="B26" s="29">
        <f t="array" ref="B26">IFERROR(INDEX(competitors!$C$2:$C$101,MATCH(25,competitors!$R$2:$R$101,0)),"")</f>
        <v/>
      </c>
      <c r="C26" s="29">
        <f t="array" ref="C26">IFERROR(INDEX(competitors!$D$2:$D$101,MATCH(25,competitors!$R$2:$R$101,0)),"")</f>
        <v/>
      </c>
      <c r="D26" s="29">
        <f t="array" ref="D26">IFERROR(INDEX(competitors!$H$2:$H$101,MATCH(25,competitors!$R$2:$R$101,0)),"")</f>
        <v/>
      </c>
      <c r="E26" s="29">
        <f t="array" ref="E26">IFERROR(INDEX(competitors!$I$2:$I$101,MATCH(25,competitors!$R$2:$R$101,0)),"")</f>
        <v/>
      </c>
      <c r="F26" s="29">
        <f t="array" ref="F26">IFERROR(INDEX(competitors!$L$2:$L$101,MATCH(25,competitors!$R$2:$R$101,0)),"")</f>
        <v/>
      </c>
      <c r="G26" s="29">
        <f>IF(B26="","",COUNTIFS(competitors!$C$2:$C$101,B26,competitors!$D$2:$D$101,C26,competitors!$H$2:$H$101,D26,competitors!$I$2:$I$101,E26,competitors!$L$2:$L$101,F26,competitors!$E$2:$E$101,"한국"))</f>
        <v/>
      </c>
      <c r="H26" s="29">
        <f>IF(B26="","",COUNTIFS(competitors!$C$2:$C$101,B26,competitors!$D$2:$D$101,C26,competitors!$H$2:$H$101,D26,competitors!$I$2:$I$101,E26,competitors!$L$2:$L$101,F26))</f>
        <v/>
      </c>
      <c r="I26" s="29">
        <f>IF(B26="","",IF(G26&gt;=5,"많음",IF(G26&gt;=3,"중간",IF(G26&gt;=1,"적음",IF(H26&gt;=1,"가능","어려움")))))</f>
        <v/>
      </c>
      <c r="J26" s="29">
        <f t="array" ref="J26">IF(B26="","",TEXTJOIN(", ",TRUE(),IF((competitors!$C$2:$C$101=B26)*(competitors!$D$2:$D$101=C26)*(competitors!$H$2:$H$101=D26)*(competitors!$I$2:$I$101=E26)*(competitors!$L$2:$L$101=F26),competitors!$B$2:$B$101,"")))</f>
        <v/>
      </c>
      <c r="K26" s="25" t="n"/>
      <c r="L26" s="41">
        <f>IF(B26="","",TODAY())</f>
        <v/>
      </c>
    </row>
    <row r="27" ht="15.75" customHeight="1" s="42">
      <c r="A27" s="40">
        <f>IF(B27="","","BM"&amp;TEXT(ROW()-1,"000"))</f>
        <v/>
      </c>
      <c r="B27" s="29">
        <f t="array" ref="B27">IFERROR(INDEX(competitors!$C$2:$C$101,MATCH(26,competitors!$R$2:$R$101,0)),"")</f>
        <v/>
      </c>
      <c r="C27" s="29">
        <f t="array" ref="C27">IFERROR(INDEX(competitors!$D$2:$D$101,MATCH(26,competitors!$R$2:$R$101,0)),"")</f>
        <v/>
      </c>
      <c r="D27" s="29">
        <f t="array" ref="D27">IFERROR(INDEX(competitors!$H$2:$H$101,MATCH(26,competitors!$R$2:$R$101,0)),"")</f>
        <v/>
      </c>
      <c r="E27" s="29">
        <f t="array" ref="E27">IFERROR(INDEX(competitors!$I$2:$I$101,MATCH(26,competitors!$R$2:$R$101,0)),"")</f>
        <v/>
      </c>
      <c r="F27" s="29">
        <f t="array" ref="F27">IFERROR(INDEX(competitors!$L$2:$L$101,MATCH(26,competitors!$R$2:$R$101,0)),"")</f>
        <v/>
      </c>
      <c r="G27" s="29">
        <f>IF(B27="","",COUNTIFS(competitors!$C$2:$C$101,B27,competitors!$D$2:$D$101,C27,competitors!$H$2:$H$101,D27,competitors!$I$2:$I$101,E27,competitors!$L$2:$L$101,F27,competitors!$E$2:$E$101,"한국"))</f>
        <v/>
      </c>
      <c r="H27" s="29">
        <f>IF(B27="","",COUNTIFS(competitors!$C$2:$C$101,B27,competitors!$D$2:$D$101,C27,competitors!$H$2:$H$101,D27,competitors!$I$2:$I$101,E27,competitors!$L$2:$L$101,F27))</f>
        <v/>
      </c>
      <c r="I27" s="29">
        <f>IF(B27="","",IF(G27&gt;=5,"많음",IF(G27&gt;=3,"중간",IF(G27&gt;=1,"적음",IF(H27&gt;=1,"가능","어려움")))))</f>
        <v/>
      </c>
      <c r="J27" s="29">
        <f t="array" ref="J27">IF(B27="","",TEXTJOIN(", ",TRUE(),IF((competitors!$C$2:$C$101=B27)*(competitors!$D$2:$D$101=C27)*(competitors!$H$2:$H$101=D27)*(competitors!$I$2:$I$101=E27)*(competitors!$L$2:$L$101=F27),competitors!$B$2:$B$101,"")))</f>
        <v/>
      </c>
      <c r="K27" s="25" t="n"/>
      <c r="L27" s="41">
        <f>IF(B27="","",TODAY())</f>
        <v/>
      </c>
    </row>
    <row r="28" ht="15.75" customHeight="1" s="42">
      <c r="A28" s="40">
        <f>IF(B28="","","BM"&amp;TEXT(ROW()-1,"000"))</f>
        <v/>
      </c>
      <c r="B28" s="29">
        <f t="array" ref="B28">IFERROR(INDEX(competitors!$C$2:$C$101,MATCH(27,competitors!$R$2:$R$101,0)),"")</f>
        <v/>
      </c>
      <c r="C28" s="29">
        <f t="array" ref="C28">IFERROR(INDEX(competitors!$D$2:$D$101,MATCH(27,competitors!$R$2:$R$101,0)),"")</f>
        <v/>
      </c>
      <c r="D28" s="29">
        <f t="array" ref="D28">IFERROR(INDEX(competitors!$H$2:$H$101,MATCH(27,competitors!$R$2:$R$101,0)),"")</f>
        <v/>
      </c>
      <c r="E28" s="29">
        <f t="array" ref="E28">IFERROR(INDEX(competitors!$I$2:$I$101,MATCH(27,competitors!$R$2:$R$101,0)),"")</f>
        <v/>
      </c>
      <c r="F28" s="29">
        <f t="array" ref="F28">IFERROR(INDEX(competitors!$L$2:$L$101,MATCH(27,competitors!$R$2:$R$101,0)),"")</f>
        <v/>
      </c>
      <c r="G28" s="29">
        <f>IF(B28="","",COUNTIFS(competitors!$C$2:$C$101,B28,competitors!$D$2:$D$101,C28,competitors!$H$2:$H$101,D28,competitors!$I$2:$I$101,E28,competitors!$L$2:$L$101,F28,competitors!$E$2:$E$101,"한국"))</f>
        <v/>
      </c>
      <c r="H28" s="29">
        <f>IF(B28="","",COUNTIFS(competitors!$C$2:$C$101,B28,competitors!$D$2:$D$101,C28,competitors!$H$2:$H$101,D28,competitors!$I$2:$I$101,E28,competitors!$L$2:$L$101,F28))</f>
        <v/>
      </c>
      <c r="I28" s="29">
        <f>IF(B28="","",IF(G28&gt;=5,"많음",IF(G28&gt;=3,"중간",IF(G28&gt;=1,"적음",IF(H28&gt;=1,"가능","어려움")))))</f>
        <v/>
      </c>
      <c r="J28" s="29">
        <f t="array" ref="J28">IF(B28="","",TEXTJOIN(", ",TRUE(),IF((competitors!$C$2:$C$101=B28)*(competitors!$D$2:$D$101=C28)*(competitors!$H$2:$H$101=D28)*(competitors!$I$2:$I$101=E28)*(competitors!$L$2:$L$101=F28),competitors!$B$2:$B$101,"")))</f>
        <v/>
      </c>
      <c r="K28" s="25" t="n"/>
      <c r="L28" s="41">
        <f>IF(B28="","",TODAY())</f>
        <v/>
      </c>
    </row>
    <row r="29" ht="15.75" customHeight="1" s="42">
      <c r="A29" s="40">
        <f>IF(B29="","","BM"&amp;TEXT(ROW()-1,"000"))</f>
        <v/>
      </c>
      <c r="B29" s="29">
        <f t="array" ref="B29">IFERROR(INDEX(competitors!$C$2:$C$101,MATCH(28,competitors!$R$2:$R$101,0)),"")</f>
        <v/>
      </c>
      <c r="C29" s="29">
        <f t="array" ref="C29">IFERROR(INDEX(competitors!$D$2:$D$101,MATCH(28,competitors!$R$2:$R$101,0)),"")</f>
        <v/>
      </c>
      <c r="D29" s="29">
        <f t="array" ref="D29">IFERROR(INDEX(competitors!$H$2:$H$101,MATCH(28,competitors!$R$2:$R$101,0)),"")</f>
        <v/>
      </c>
      <c r="E29" s="29">
        <f t="array" ref="E29">IFERROR(INDEX(competitors!$I$2:$I$101,MATCH(28,competitors!$R$2:$R$101,0)),"")</f>
        <v/>
      </c>
      <c r="F29" s="29">
        <f t="array" ref="F29">IFERROR(INDEX(competitors!$L$2:$L$101,MATCH(28,competitors!$R$2:$R$101,0)),"")</f>
        <v/>
      </c>
      <c r="G29" s="29">
        <f>IF(B29="","",COUNTIFS(competitors!$C$2:$C$101,B29,competitors!$D$2:$D$101,C29,competitors!$H$2:$H$101,D29,competitors!$I$2:$I$101,E29,competitors!$L$2:$L$101,F29,competitors!$E$2:$E$101,"한국"))</f>
        <v/>
      </c>
      <c r="H29" s="29">
        <f>IF(B29="","",COUNTIFS(competitors!$C$2:$C$101,B29,competitors!$D$2:$D$101,C29,competitors!$H$2:$H$101,D29,competitors!$I$2:$I$101,E29,competitors!$L$2:$L$101,F29))</f>
        <v/>
      </c>
      <c r="I29" s="29">
        <f>IF(B29="","",IF(G29&gt;=5,"많음",IF(G29&gt;=3,"중간",IF(G29&gt;=1,"적음",IF(H29&gt;=1,"가능","어려움")))))</f>
        <v/>
      </c>
      <c r="J29" s="29">
        <f t="array" ref="J29">IF(B29="","",TEXTJOIN(", ",TRUE(),IF((competitors!$C$2:$C$101=B29)*(competitors!$D$2:$D$101=C29)*(competitors!$H$2:$H$101=D29)*(competitors!$I$2:$I$101=E29)*(competitors!$L$2:$L$101=F29),competitors!$B$2:$B$101,"")))</f>
        <v/>
      </c>
      <c r="K29" s="25" t="n"/>
      <c r="L29" s="41">
        <f>IF(B29="","",TODAY())</f>
        <v/>
      </c>
    </row>
    <row r="30" ht="15.75" customHeight="1" s="42">
      <c r="A30" s="40">
        <f>IF(B30="","","BM"&amp;TEXT(ROW()-1,"000"))</f>
        <v/>
      </c>
      <c r="B30" s="29">
        <f t="array" ref="B30">IFERROR(INDEX(competitors!$C$2:$C$101,MATCH(29,competitors!$R$2:$R$101,0)),"")</f>
        <v/>
      </c>
      <c r="C30" s="29">
        <f t="array" ref="C30">IFERROR(INDEX(competitors!$D$2:$D$101,MATCH(29,competitors!$R$2:$R$101,0)),"")</f>
        <v/>
      </c>
      <c r="D30" s="29">
        <f t="array" ref="D30">IFERROR(INDEX(competitors!$H$2:$H$101,MATCH(29,competitors!$R$2:$R$101,0)),"")</f>
        <v/>
      </c>
      <c r="E30" s="29">
        <f t="array" ref="E30">IFERROR(INDEX(competitors!$I$2:$I$101,MATCH(29,competitors!$R$2:$R$101,0)),"")</f>
        <v/>
      </c>
      <c r="F30" s="29">
        <f t="array" ref="F30">IFERROR(INDEX(competitors!$L$2:$L$101,MATCH(29,competitors!$R$2:$R$101,0)),"")</f>
        <v/>
      </c>
      <c r="G30" s="29">
        <f>IF(B30="","",COUNTIFS(competitors!$C$2:$C$101,B30,competitors!$D$2:$D$101,C30,competitors!$H$2:$H$101,D30,competitors!$I$2:$I$101,E30,competitors!$L$2:$L$101,F30,competitors!$E$2:$E$101,"한국"))</f>
        <v/>
      </c>
      <c r="H30" s="29">
        <f>IF(B30="","",COUNTIFS(competitors!$C$2:$C$101,B30,competitors!$D$2:$D$101,C30,competitors!$H$2:$H$101,D30,competitors!$I$2:$I$101,E30,competitors!$L$2:$L$101,F30))</f>
        <v/>
      </c>
      <c r="I30" s="29">
        <f>IF(B30="","",IF(G30&gt;=5,"많음",IF(G30&gt;=3,"중간",IF(G30&gt;=1,"적음",IF(H30&gt;=1,"가능","어려움")))))</f>
        <v/>
      </c>
      <c r="J30" s="29">
        <f t="array" ref="J30">IF(B30="","",TEXTJOIN(", ",TRUE(),IF((competitors!$C$2:$C$101=B30)*(competitors!$D$2:$D$101=C30)*(competitors!$H$2:$H$101=D30)*(competitors!$I$2:$I$101=E30)*(competitors!$L$2:$L$101=F30),competitors!$B$2:$B$101,"")))</f>
        <v/>
      </c>
      <c r="K30" s="25" t="n"/>
      <c r="L30" s="41">
        <f>IF(B30="","",TODAY())</f>
        <v/>
      </c>
    </row>
    <row r="31" ht="15.75" customHeight="1" s="42">
      <c r="A31" s="40">
        <f>IF(B31="","","BM"&amp;TEXT(ROW()-1,"000"))</f>
        <v/>
      </c>
      <c r="B31" s="29">
        <f t="array" ref="B31">IFERROR(INDEX(competitors!$C$2:$C$101,MATCH(30,competitors!$R$2:$R$101,0)),"")</f>
        <v/>
      </c>
      <c r="C31" s="29">
        <f t="array" ref="C31">IFERROR(INDEX(competitors!$D$2:$D$101,MATCH(30,competitors!$R$2:$R$101,0)),"")</f>
        <v/>
      </c>
      <c r="D31" s="29">
        <f t="array" ref="D31">IFERROR(INDEX(competitors!$H$2:$H$101,MATCH(30,competitors!$R$2:$R$101,0)),"")</f>
        <v/>
      </c>
      <c r="E31" s="29">
        <f t="array" ref="E31">IFERROR(INDEX(competitors!$I$2:$I$101,MATCH(30,competitors!$R$2:$R$101,0)),"")</f>
        <v/>
      </c>
      <c r="F31" s="29">
        <f t="array" ref="F31">IFERROR(INDEX(competitors!$L$2:$L$101,MATCH(30,competitors!$R$2:$R$101,0)),"")</f>
        <v/>
      </c>
      <c r="G31" s="29">
        <f>IF(B31="","",COUNTIFS(competitors!$C$2:$C$101,B31,competitors!$D$2:$D$101,C31,competitors!$H$2:$H$101,D31,competitors!$I$2:$I$101,E31,competitors!$L$2:$L$101,F31,competitors!$E$2:$E$101,"한국"))</f>
        <v/>
      </c>
      <c r="H31" s="29">
        <f>IF(B31="","",COUNTIFS(competitors!$C$2:$C$101,B31,competitors!$D$2:$D$101,C31,competitors!$H$2:$H$101,D31,competitors!$I$2:$I$101,E31,competitors!$L$2:$L$101,F31))</f>
        <v/>
      </c>
      <c r="I31" s="29">
        <f>IF(B31="","",IF(G31&gt;=5,"많음",IF(G31&gt;=3,"중간",IF(G31&gt;=1,"적음",IF(H31&gt;=1,"가능","어려움")))))</f>
        <v/>
      </c>
      <c r="J31" s="29">
        <f t="array" ref="J31">IF(B31="","",TEXTJOIN(", ",TRUE(),IF((competitors!$C$2:$C$101=B31)*(competitors!$D$2:$D$101=C31)*(competitors!$H$2:$H$101=D31)*(competitors!$I$2:$I$101=E31)*(competitors!$L$2:$L$101=F31),competitors!$B$2:$B$101,"")))</f>
        <v/>
      </c>
      <c r="K31" s="25" t="n"/>
      <c r="L31" s="41">
        <f>IF(B31="","",TODAY())</f>
        <v/>
      </c>
    </row>
    <row r="32" ht="15.75" customHeight="1" s="42">
      <c r="A32" s="40">
        <f>IF(B32="","","BM"&amp;TEXT(ROW()-1,"000"))</f>
        <v/>
      </c>
      <c r="B32" s="29">
        <f t="array" ref="B32">IFERROR(INDEX(competitors!$C$2:$C$101,MATCH(31,competitors!$R$2:$R$101,0)),"")</f>
        <v/>
      </c>
      <c r="C32" s="29">
        <f t="array" ref="C32">IFERROR(INDEX(competitors!$D$2:$D$101,MATCH(31,competitors!$R$2:$R$101,0)),"")</f>
        <v/>
      </c>
      <c r="D32" s="29">
        <f t="array" ref="D32">IFERROR(INDEX(competitors!$H$2:$H$101,MATCH(31,competitors!$R$2:$R$101,0)),"")</f>
        <v/>
      </c>
      <c r="E32" s="29">
        <f t="array" ref="E32">IFERROR(INDEX(competitors!$I$2:$I$101,MATCH(31,competitors!$R$2:$R$101,0)),"")</f>
        <v/>
      </c>
      <c r="F32" s="29">
        <f t="array" ref="F32">IFERROR(INDEX(competitors!$L$2:$L$101,MATCH(31,competitors!$R$2:$R$101,0)),"")</f>
        <v/>
      </c>
      <c r="G32" s="29">
        <f>IF(B32="","",COUNTIFS(competitors!$C$2:$C$101,B32,competitors!$D$2:$D$101,C32,competitors!$H$2:$H$101,D32,competitors!$I$2:$I$101,E32,competitors!$L$2:$L$101,F32,competitors!$E$2:$E$101,"한국"))</f>
        <v/>
      </c>
      <c r="H32" s="29">
        <f>IF(B32="","",COUNTIFS(competitors!$C$2:$C$101,B32,competitors!$D$2:$D$101,C32,competitors!$H$2:$H$101,D32,competitors!$I$2:$I$101,E32,competitors!$L$2:$L$101,F32))</f>
        <v/>
      </c>
      <c r="I32" s="29">
        <f>IF(B32="","",IF(G32&gt;=5,"많음",IF(G32&gt;=3,"중간",IF(G32&gt;=1,"적음",IF(H32&gt;=1,"가능","어려움")))))</f>
        <v/>
      </c>
      <c r="J32" s="29">
        <f t="array" ref="J32">IF(B32="","",TEXTJOIN(", ",TRUE(),IF((competitors!$C$2:$C$101=B32)*(competitors!$D$2:$D$101=C32)*(competitors!$H$2:$H$101=D32)*(competitors!$I$2:$I$101=E32)*(competitors!$L$2:$L$101=F32),competitors!$B$2:$B$101,"")))</f>
        <v/>
      </c>
      <c r="K32" s="25" t="n"/>
      <c r="L32" s="41">
        <f>IF(B32="","",TODAY())</f>
        <v/>
      </c>
    </row>
    <row r="33" ht="15.75" customHeight="1" s="42">
      <c r="A33" s="40">
        <f>IF(B33="","","BM"&amp;TEXT(ROW()-1,"000"))</f>
        <v/>
      </c>
      <c r="B33" s="29">
        <f t="array" ref="B33">IFERROR(INDEX(competitors!$C$2:$C$101,MATCH(32,competitors!$R$2:$R$101,0)),"")</f>
        <v/>
      </c>
      <c r="C33" s="29">
        <f t="array" ref="C33">IFERROR(INDEX(competitors!$D$2:$D$101,MATCH(32,competitors!$R$2:$R$101,0)),"")</f>
        <v/>
      </c>
      <c r="D33" s="29">
        <f t="array" ref="D33">IFERROR(INDEX(competitors!$H$2:$H$101,MATCH(32,competitors!$R$2:$R$101,0)),"")</f>
        <v/>
      </c>
      <c r="E33" s="29">
        <f t="array" ref="E33">IFERROR(INDEX(competitors!$I$2:$I$101,MATCH(32,competitors!$R$2:$R$101,0)),"")</f>
        <v/>
      </c>
      <c r="F33" s="29">
        <f t="array" ref="F33">IFERROR(INDEX(competitors!$L$2:$L$101,MATCH(32,competitors!$R$2:$R$101,0)),"")</f>
        <v/>
      </c>
      <c r="G33" s="29">
        <f>IF(B33="","",COUNTIFS(competitors!$C$2:$C$101,B33,competitors!$D$2:$D$101,C33,competitors!$H$2:$H$101,D33,competitors!$I$2:$I$101,E33,competitors!$L$2:$L$101,F33,competitors!$E$2:$E$101,"한국"))</f>
        <v/>
      </c>
      <c r="H33" s="29">
        <f>IF(B33="","",COUNTIFS(competitors!$C$2:$C$101,B33,competitors!$D$2:$D$101,C33,competitors!$H$2:$H$101,D33,competitors!$I$2:$I$101,E33,competitors!$L$2:$L$101,F33))</f>
        <v/>
      </c>
      <c r="I33" s="29">
        <f>IF(B33="","",IF(G33&gt;=5,"많음",IF(G33&gt;=3,"중간",IF(G33&gt;=1,"적음",IF(H33&gt;=1,"가능","어려움")))))</f>
        <v/>
      </c>
      <c r="J33" s="29">
        <f t="array" ref="J33">IF(B33="","",TEXTJOIN(", ",TRUE(),IF((competitors!$C$2:$C$101=B33)*(competitors!$D$2:$D$101=C33)*(competitors!$H$2:$H$101=D33)*(competitors!$I$2:$I$101=E33)*(competitors!$L$2:$L$101=F33),competitors!$B$2:$B$101,"")))</f>
        <v/>
      </c>
      <c r="K33" s="25" t="n"/>
      <c r="L33" s="41">
        <f>IF(B33="","",TODAY())</f>
        <v/>
      </c>
    </row>
    <row r="34" ht="15.75" customHeight="1" s="42">
      <c r="A34" s="40">
        <f>IF(B34="","","BM"&amp;TEXT(ROW()-1,"000"))</f>
        <v/>
      </c>
      <c r="B34" s="29">
        <f t="array" ref="B34">IFERROR(INDEX(competitors!$C$2:$C$101,MATCH(33,competitors!$R$2:$R$101,0)),"")</f>
        <v/>
      </c>
      <c r="C34" s="29">
        <f t="array" ref="C34">IFERROR(INDEX(competitors!$D$2:$D$101,MATCH(33,competitors!$R$2:$R$101,0)),"")</f>
        <v/>
      </c>
      <c r="D34" s="29">
        <f t="array" ref="D34">IFERROR(INDEX(competitors!$H$2:$H$101,MATCH(33,competitors!$R$2:$R$101,0)),"")</f>
        <v/>
      </c>
      <c r="E34" s="29">
        <f t="array" ref="E34">IFERROR(INDEX(competitors!$I$2:$I$101,MATCH(33,competitors!$R$2:$R$101,0)),"")</f>
        <v/>
      </c>
      <c r="F34" s="29">
        <f t="array" ref="F34">IFERROR(INDEX(competitors!$L$2:$L$101,MATCH(33,competitors!$R$2:$R$101,0)),"")</f>
        <v/>
      </c>
      <c r="G34" s="29">
        <f>IF(B34="","",COUNTIFS(competitors!$C$2:$C$101,B34,competitors!$D$2:$D$101,C34,competitors!$H$2:$H$101,D34,competitors!$I$2:$I$101,E34,competitors!$L$2:$L$101,F34,competitors!$E$2:$E$101,"한국"))</f>
        <v/>
      </c>
      <c r="H34" s="29">
        <f>IF(B34="","",COUNTIFS(competitors!$C$2:$C$101,B34,competitors!$D$2:$D$101,C34,competitors!$H$2:$H$101,D34,competitors!$I$2:$I$101,E34,competitors!$L$2:$L$101,F34))</f>
        <v/>
      </c>
      <c r="I34" s="29">
        <f>IF(B34="","",IF(G34&gt;=5,"많음",IF(G34&gt;=3,"중간",IF(G34&gt;=1,"적음",IF(H34&gt;=1,"가능","어려움")))))</f>
        <v/>
      </c>
      <c r="J34" s="29">
        <f t="array" ref="J34">IF(B34="","",TEXTJOIN(", ",TRUE(),IF((competitors!$C$2:$C$101=B34)*(competitors!$D$2:$D$101=C34)*(competitors!$H$2:$H$101=D34)*(competitors!$I$2:$I$101=E34)*(competitors!$L$2:$L$101=F34),competitors!$B$2:$B$101,"")))</f>
        <v/>
      </c>
      <c r="K34" s="25" t="n"/>
      <c r="L34" s="41">
        <f>IF(B34="","",TODAY())</f>
        <v/>
      </c>
    </row>
    <row r="35" ht="15.75" customHeight="1" s="42">
      <c r="A35" s="40">
        <f>IF(B35="","","BM"&amp;TEXT(ROW()-1,"000"))</f>
        <v/>
      </c>
      <c r="B35" s="29">
        <f t="array" ref="B35">IFERROR(INDEX(competitors!$C$2:$C$101,MATCH(34,competitors!$R$2:$R$101,0)),"")</f>
        <v/>
      </c>
      <c r="C35" s="29">
        <f t="array" ref="C35">IFERROR(INDEX(competitors!$D$2:$D$101,MATCH(34,competitors!$R$2:$R$101,0)),"")</f>
        <v/>
      </c>
      <c r="D35" s="29">
        <f t="array" ref="D35">IFERROR(INDEX(competitors!$H$2:$H$101,MATCH(34,competitors!$R$2:$R$101,0)),"")</f>
        <v/>
      </c>
      <c r="E35" s="29">
        <f t="array" ref="E35">IFERROR(INDEX(competitors!$I$2:$I$101,MATCH(34,competitors!$R$2:$R$101,0)),"")</f>
        <v/>
      </c>
      <c r="F35" s="29">
        <f t="array" ref="F35">IFERROR(INDEX(competitors!$L$2:$L$101,MATCH(34,competitors!$R$2:$R$101,0)),"")</f>
        <v/>
      </c>
      <c r="G35" s="29">
        <f>IF(B35="","",COUNTIFS(competitors!$C$2:$C$101,B35,competitors!$D$2:$D$101,C35,competitors!$H$2:$H$101,D35,competitors!$I$2:$I$101,E35,competitors!$L$2:$L$101,F35,competitors!$E$2:$E$101,"한국"))</f>
        <v/>
      </c>
      <c r="H35" s="29">
        <f>IF(B35="","",COUNTIFS(competitors!$C$2:$C$101,B35,competitors!$D$2:$D$101,C35,competitors!$H$2:$H$101,D35,competitors!$I$2:$I$101,E35,competitors!$L$2:$L$101,F35))</f>
        <v/>
      </c>
      <c r="I35" s="29">
        <f>IF(B35="","",IF(G35&gt;=5,"많음",IF(G35&gt;=3,"중간",IF(G35&gt;=1,"적음",IF(H35&gt;=1,"가능","어려움")))))</f>
        <v/>
      </c>
      <c r="J35" s="29">
        <f t="array" ref="J35">IF(B35="","",TEXTJOIN(", ",TRUE(),IF((competitors!$C$2:$C$101=B35)*(competitors!$D$2:$D$101=C35)*(competitors!$H$2:$H$101=D35)*(competitors!$I$2:$I$101=E35)*(competitors!$L$2:$L$101=F35),competitors!$B$2:$B$101,"")))</f>
        <v/>
      </c>
      <c r="K35" s="25" t="n"/>
      <c r="L35" s="41">
        <f>IF(B35="","",TODAY())</f>
        <v/>
      </c>
    </row>
    <row r="36" ht="15.75" customHeight="1" s="42">
      <c r="A36" s="40">
        <f>IF(B36="","","BM"&amp;TEXT(ROW()-1,"000"))</f>
        <v/>
      </c>
      <c r="B36" s="29">
        <f t="array" ref="B36">IFERROR(INDEX(competitors!$C$2:$C$101,MATCH(35,competitors!$R$2:$R$101,0)),"")</f>
        <v/>
      </c>
      <c r="C36" s="29">
        <f t="array" ref="C36">IFERROR(INDEX(competitors!$D$2:$D$101,MATCH(35,competitors!$R$2:$R$101,0)),"")</f>
        <v/>
      </c>
      <c r="D36" s="29">
        <f t="array" ref="D36">IFERROR(INDEX(competitors!$H$2:$H$101,MATCH(35,competitors!$R$2:$R$101,0)),"")</f>
        <v/>
      </c>
      <c r="E36" s="29">
        <f t="array" ref="E36">IFERROR(INDEX(competitors!$I$2:$I$101,MATCH(35,competitors!$R$2:$R$101,0)),"")</f>
        <v/>
      </c>
      <c r="F36" s="29">
        <f t="array" ref="F36">IFERROR(INDEX(competitors!$L$2:$L$101,MATCH(35,competitors!$R$2:$R$101,0)),"")</f>
        <v/>
      </c>
      <c r="G36" s="29">
        <f>IF(B36="","",COUNTIFS(competitors!$C$2:$C$101,B36,competitors!$D$2:$D$101,C36,competitors!$H$2:$H$101,D36,competitors!$I$2:$I$101,E36,competitors!$L$2:$L$101,F36,competitors!$E$2:$E$101,"한국"))</f>
        <v/>
      </c>
      <c r="H36" s="29">
        <f>IF(B36="","",COUNTIFS(competitors!$C$2:$C$101,B36,competitors!$D$2:$D$101,C36,competitors!$H$2:$H$101,D36,competitors!$I$2:$I$101,E36,competitors!$L$2:$L$101,F36))</f>
        <v/>
      </c>
      <c r="I36" s="29">
        <f>IF(B36="","",IF(G36&gt;=5,"많음",IF(G36&gt;=3,"중간",IF(G36&gt;=1,"적음",IF(H36&gt;=1,"가능","어려움")))))</f>
        <v/>
      </c>
      <c r="J36" s="29">
        <f t="array" ref="J36">IF(B36="","",TEXTJOIN(", ",TRUE(),IF((competitors!$C$2:$C$101=B36)*(competitors!$D$2:$D$101=C36)*(competitors!$H$2:$H$101=D36)*(competitors!$I$2:$I$101=E36)*(competitors!$L$2:$L$101=F36),competitors!$B$2:$B$101,"")))</f>
        <v/>
      </c>
      <c r="K36" s="25" t="n"/>
      <c r="L36" s="41">
        <f>IF(B36="","",TODAY())</f>
        <v/>
      </c>
    </row>
    <row r="37" ht="15.75" customHeight="1" s="42">
      <c r="A37" s="40">
        <f>IF(B37="","","BM"&amp;TEXT(ROW()-1,"000"))</f>
        <v/>
      </c>
      <c r="B37" s="29">
        <f t="array" ref="B37">IFERROR(INDEX(competitors!$C$2:$C$101,MATCH(36,competitors!$R$2:$R$101,0)),"")</f>
        <v/>
      </c>
      <c r="C37" s="29">
        <f t="array" ref="C37">IFERROR(INDEX(competitors!$D$2:$D$101,MATCH(36,competitors!$R$2:$R$101,0)),"")</f>
        <v/>
      </c>
      <c r="D37" s="29">
        <f t="array" ref="D37">IFERROR(INDEX(competitors!$H$2:$H$101,MATCH(36,competitors!$R$2:$R$101,0)),"")</f>
        <v/>
      </c>
      <c r="E37" s="29">
        <f t="array" ref="E37">IFERROR(INDEX(competitors!$I$2:$I$101,MATCH(36,competitors!$R$2:$R$101,0)),"")</f>
        <v/>
      </c>
      <c r="F37" s="29">
        <f t="array" ref="F37">IFERROR(INDEX(competitors!$L$2:$L$101,MATCH(36,competitors!$R$2:$R$101,0)),"")</f>
        <v/>
      </c>
      <c r="G37" s="29">
        <f>IF(B37="","",COUNTIFS(competitors!$C$2:$C$101,B37,competitors!$D$2:$D$101,C37,competitors!$H$2:$H$101,D37,competitors!$I$2:$I$101,E37,competitors!$L$2:$L$101,F37,competitors!$E$2:$E$101,"한국"))</f>
        <v/>
      </c>
      <c r="H37" s="29">
        <f>IF(B37="","",COUNTIFS(competitors!$C$2:$C$101,B37,competitors!$D$2:$D$101,C37,competitors!$H$2:$H$101,D37,competitors!$I$2:$I$101,E37,competitors!$L$2:$L$101,F37))</f>
        <v/>
      </c>
      <c r="I37" s="29">
        <f>IF(B37="","",IF(G37&gt;=5,"많음",IF(G37&gt;=3,"중간",IF(G37&gt;=1,"적음",IF(H37&gt;=1,"가능","어려움")))))</f>
        <v/>
      </c>
      <c r="J37" s="29">
        <f t="array" ref="J37">IF(B37="","",TEXTJOIN(", ",TRUE(),IF((competitors!$C$2:$C$101=B37)*(competitors!$D$2:$D$101=C37)*(competitors!$H$2:$H$101=D37)*(competitors!$I$2:$I$101=E37)*(competitors!$L$2:$L$101=F37),competitors!$B$2:$B$101,"")))</f>
        <v/>
      </c>
      <c r="K37" s="25" t="n"/>
      <c r="L37" s="41">
        <f>IF(B37="","",TODAY())</f>
        <v/>
      </c>
    </row>
    <row r="38" ht="15.75" customHeight="1" s="42">
      <c r="A38" s="40">
        <f>IF(B38="","","BM"&amp;TEXT(ROW()-1,"000"))</f>
        <v/>
      </c>
      <c r="B38" s="29">
        <f t="array" ref="B38">IFERROR(INDEX(competitors!$C$2:$C$101,MATCH(37,competitors!$R$2:$R$101,0)),"")</f>
        <v/>
      </c>
      <c r="C38" s="29">
        <f t="array" ref="C38">IFERROR(INDEX(competitors!$D$2:$D$101,MATCH(37,competitors!$R$2:$R$101,0)),"")</f>
        <v/>
      </c>
      <c r="D38" s="29">
        <f t="array" ref="D38">IFERROR(INDEX(competitors!$H$2:$H$101,MATCH(37,competitors!$R$2:$R$101,0)),"")</f>
        <v/>
      </c>
      <c r="E38" s="29">
        <f t="array" ref="E38">IFERROR(INDEX(competitors!$I$2:$I$101,MATCH(37,competitors!$R$2:$R$101,0)),"")</f>
        <v/>
      </c>
      <c r="F38" s="29">
        <f t="array" ref="F38">IFERROR(INDEX(competitors!$L$2:$L$101,MATCH(37,competitors!$R$2:$R$101,0)),"")</f>
        <v/>
      </c>
      <c r="G38" s="29">
        <f>IF(B38="","",COUNTIFS(competitors!$C$2:$C$101,B38,competitors!$D$2:$D$101,C38,competitors!$H$2:$H$101,D38,competitors!$I$2:$I$101,E38,competitors!$L$2:$L$101,F38,competitors!$E$2:$E$101,"한국"))</f>
        <v/>
      </c>
      <c r="H38" s="29">
        <f>IF(B38="","",COUNTIFS(competitors!$C$2:$C$101,B38,competitors!$D$2:$D$101,C38,competitors!$H$2:$H$101,D38,competitors!$I$2:$I$101,E38,competitors!$L$2:$L$101,F38))</f>
        <v/>
      </c>
      <c r="I38" s="29">
        <f>IF(B38="","",IF(G38&gt;=5,"많음",IF(G38&gt;=3,"중간",IF(G38&gt;=1,"적음",IF(H38&gt;=1,"가능","어려움")))))</f>
        <v/>
      </c>
      <c r="J38" s="29">
        <f t="array" ref="J38">IF(B38="","",TEXTJOIN(", ",TRUE(),IF((competitors!$C$2:$C$101=B38)*(competitors!$D$2:$D$101=C38)*(competitors!$H$2:$H$101=D38)*(competitors!$I$2:$I$101=E38)*(competitors!$L$2:$L$101=F38),competitors!$B$2:$B$101,"")))</f>
        <v/>
      </c>
      <c r="K38" s="25" t="n"/>
      <c r="L38" s="41">
        <f>IF(B38="","",TODAY())</f>
        <v/>
      </c>
    </row>
    <row r="39" ht="15.75" customHeight="1" s="42">
      <c r="A39" s="40">
        <f>IF(B39="","","BM"&amp;TEXT(ROW()-1,"000"))</f>
        <v/>
      </c>
      <c r="B39" s="29">
        <f t="array" ref="B39">IFERROR(INDEX(competitors!$C$2:$C$101,MATCH(38,competitors!$R$2:$R$101,0)),"")</f>
        <v/>
      </c>
      <c r="C39" s="29">
        <f t="array" ref="C39">IFERROR(INDEX(competitors!$D$2:$D$101,MATCH(38,competitors!$R$2:$R$101,0)),"")</f>
        <v/>
      </c>
      <c r="D39" s="29">
        <f t="array" ref="D39">IFERROR(INDEX(competitors!$H$2:$H$101,MATCH(38,competitors!$R$2:$R$101,0)),"")</f>
        <v/>
      </c>
      <c r="E39" s="29">
        <f t="array" ref="E39">IFERROR(INDEX(competitors!$I$2:$I$101,MATCH(38,competitors!$R$2:$R$101,0)),"")</f>
        <v/>
      </c>
      <c r="F39" s="29">
        <f t="array" ref="F39">IFERROR(INDEX(competitors!$L$2:$L$101,MATCH(38,competitors!$R$2:$R$101,0)),"")</f>
        <v/>
      </c>
      <c r="G39" s="29">
        <f>IF(B39="","",COUNTIFS(competitors!$C$2:$C$101,B39,competitors!$D$2:$D$101,C39,competitors!$H$2:$H$101,D39,competitors!$I$2:$I$101,E39,competitors!$L$2:$L$101,F39,competitors!$E$2:$E$101,"한국"))</f>
        <v/>
      </c>
      <c r="H39" s="29">
        <f>IF(B39="","",COUNTIFS(competitors!$C$2:$C$101,B39,competitors!$D$2:$D$101,C39,competitors!$H$2:$H$101,D39,competitors!$I$2:$I$101,E39,competitors!$L$2:$L$101,F39))</f>
        <v/>
      </c>
      <c r="I39" s="29">
        <f>IF(B39="","",IF(G39&gt;=5,"많음",IF(G39&gt;=3,"중간",IF(G39&gt;=1,"적음",IF(H39&gt;=1,"가능","어려움")))))</f>
        <v/>
      </c>
      <c r="J39" s="29">
        <f t="array" ref="J39">IF(B39="","",TEXTJOIN(", ",TRUE(),IF((competitors!$C$2:$C$101=B39)*(competitors!$D$2:$D$101=C39)*(competitors!$H$2:$H$101=D39)*(competitors!$I$2:$I$101=E39)*(competitors!$L$2:$L$101=F39),competitors!$B$2:$B$101,"")))</f>
        <v/>
      </c>
      <c r="K39" s="25" t="n"/>
      <c r="L39" s="41">
        <f>IF(B39="","",TODAY())</f>
        <v/>
      </c>
    </row>
    <row r="40" ht="15.75" customHeight="1" s="42">
      <c r="A40" s="40">
        <f>IF(B40="","","BM"&amp;TEXT(ROW()-1,"000"))</f>
        <v/>
      </c>
      <c r="B40" s="29">
        <f t="array" ref="B40">IFERROR(INDEX(competitors!$C$2:$C$101,MATCH(39,competitors!$R$2:$R$101,0)),"")</f>
        <v/>
      </c>
      <c r="C40" s="29">
        <f t="array" ref="C40">IFERROR(INDEX(competitors!$D$2:$D$101,MATCH(39,competitors!$R$2:$R$101,0)),"")</f>
        <v/>
      </c>
      <c r="D40" s="29">
        <f t="array" ref="D40">IFERROR(INDEX(competitors!$H$2:$H$101,MATCH(39,competitors!$R$2:$R$101,0)),"")</f>
        <v/>
      </c>
      <c r="E40" s="29">
        <f t="array" ref="E40">IFERROR(INDEX(competitors!$I$2:$I$101,MATCH(39,competitors!$R$2:$R$101,0)),"")</f>
        <v/>
      </c>
      <c r="F40" s="29">
        <f t="array" ref="F40">IFERROR(INDEX(competitors!$L$2:$L$101,MATCH(39,competitors!$R$2:$R$101,0)),"")</f>
        <v/>
      </c>
      <c r="G40" s="29">
        <f>IF(B40="","",COUNTIFS(competitors!$C$2:$C$101,B40,competitors!$D$2:$D$101,C40,competitors!$H$2:$H$101,D40,competitors!$I$2:$I$101,E40,competitors!$L$2:$L$101,F40,competitors!$E$2:$E$101,"한국"))</f>
        <v/>
      </c>
      <c r="H40" s="29">
        <f>IF(B40="","",COUNTIFS(competitors!$C$2:$C$101,B40,competitors!$D$2:$D$101,C40,competitors!$H$2:$H$101,D40,competitors!$I$2:$I$101,E40,competitors!$L$2:$L$101,F40))</f>
        <v/>
      </c>
      <c r="I40" s="29">
        <f>IF(B40="","",IF(G40&gt;=5,"많음",IF(G40&gt;=3,"중간",IF(G40&gt;=1,"적음",IF(H40&gt;=1,"가능","어려움")))))</f>
        <v/>
      </c>
      <c r="J40" s="29">
        <f t="array" ref="J40">IF(B40="","",TEXTJOIN(", ",TRUE(),IF((competitors!$C$2:$C$101=B40)*(competitors!$D$2:$D$101=C40)*(competitors!$H$2:$H$101=D40)*(competitors!$I$2:$I$101=E40)*(competitors!$L$2:$L$101=F40),competitors!$B$2:$B$101,"")))</f>
        <v/>
      </c>
      <c r="K40" s="25" t="n"/>
      <c r="L40" s="41">
        <f>IF(B40="","",TODAY())</f>
        <v/>
      </c>
    </row>
    <row r="41" ht="15.75" customHeight="1" s="42">
      <c r="A41" s="40">
        <f>IF(B41="","","BM"&amp;TEXT(ROW()-1,"000"))</f>
        <v/>
      </c>
      <c r="B41" s="29">
        <f t="array" ref="B41">IFERROR(INDEX(competitors!$C$2:$C$101,MATCH(40,competitors!$R$2:$R$101,0)),"")</f>
        <v/>
      </c>
      <c r="C41" s="29">
        <f t="array" ref="C41">IFERROR(INDEX(competitors!$D$2:$D$101,MATCH(40,competitors!$R$2:$R$101,0)),"")</f>
        <v/>
      </c>
      <c r="D41" s="29">
        <f t="array" ref="D41">IFERROR(INDEX(competitors!$H$2:$H$101,MATCH(40,competitors!$R$2:$R$101,0)),"")</f>
        <v/>
      </c>
      <c r="E41" s="29">
        <f t="array" ref="E41">IFERROR(INDEX(competitors!$I$2:$I$101,MATCH(40,competitors!$R$2:$R$101,0)),"")</f>
        <v/>
      </c>
      <c r="F41" s="29">
        <f t="array" ref="F41">IFERROR(INDEX(competitors!$L$2:$L$101,MATCH(40,competitors!$R$2:$R$101,0)),"")</f>
        <v/>
      </c>
      <c r="G41" s="29">
        <f>IF(B41="","",COUNTIFS(competitors!$C$2:$C$101,B41,competitors!$D$2:$D$101,C41,competitors!$H$2:$H$101,D41,competitors!$I$2:$I$101,E41,competitors!$L$2:$L$101,F41,competitors!$E$2:$E$101,"한국"))</f>
        <v/>
      </c>
      <c r="H41" s="29">
        <f>IF(B41="","",COUNTIFS(competitors!$C$2:$C$101,B41,competitors!$D$2:$D$101,C41,competitors!$H$2:$H$101,D41,competitors!$I$2:$I$101,E41,competitors!$L$2:$L$101,F41))</f>
        <v/>
      </c>
      <c r="I41" s="29">
        <f>IF(B41="","",IF(G41&gt;=5,"많음",IF(G41&gt;=3,"중간",IF(G41&gt;=1,"적음",IF(H41&gt;=1,"가능","어려움")))))</f>
        <v/>
      </c>
      <c r="J41" s="29">
        <f t="array" ref="J41">IF(B41="","",TEXTJOIN(", ",TRUE(),IF((competitors!$C$2:$C$101=B41)*(competitors!$D$2:$D$101=C41)*(competitors!$H$2:$H$101=D41)*(competitors!$I$2:$I$101=E41)*(competitors!$L$2:$L$101=F41),competitors!$B$2:$B$101,"")))</f>
        <v/>
      </c>
      <c r="K41" s="25" t="n"/>
      <c r="L41" s="41">
        <f>IF(B41="","",TODAY())</f>
        <v/>
      </c>
    </row>
    <row r="42" ht="15.75" customHeight="1" s="42">
      <c r="A42" s="40">
        <f>IF(B42="","","BM"&amp;TEXT(ROW()-1,"000"))</f>
        <v/>
      </c>
      <c r="B42" s="29">
        <f t="array" ref="B42">IFERROR(INDEX(competitors!$C$2:$C$101,MATCH(41,competitors!$R$2:$R$101,0)),"")</f>
        <v/>
      </c>
      <c r="C42" s="29">
        <f t="array" ref="C42">IFERROR(INDEX(competitors!$D$2:$D$101,MATCH(41,competitors!$R$2:$R$101,0)),"")</f>
        <v/>
      </c>
      <c r="D42" s="29">
        <f t="array" ref="D42">IFERROR(INDEX(competitors!$H$2:$H$101,MATCH(41,competitors!$R$2:$R$101,0)),"")</f>
        <v/>
      </c>
      <c r="E42" s="29">
        <f t="array" ref="E42">IFERROR(INDEX(competitors!$I$2:$I$101,MATCH(41,competitors!$R$2:$R$101,0)),"")</f>
        <v/>
      </c>
      <c r="F42" s="29">
        <f t="array" ref="F42">IFERROR(INDEX(competitors!$L$2:$L$101,MATCH(41,competitors!$R$2:$R$101,0)),"")</f>
        <v/>
      </c>
      <c r="G42" s="29">
        <f>IF(B42="","",COUNTIFS(competitors!$C$2:$C$101,B42,competitors!$D$2:$D$101,C42,competitors!$H$2:$H$101,D42,competitors!$I$2:$I$101,E42,competitors!$L$2:$L$101,F42,competitors!$E$2:$E$101,"한국"))</f>
        <v/>
      </c>
      <c r="H42" s="29">
        <f>IF(B42="","",COUNTIFS(competitors!$C$2:$C$101,B42,competitors!$D$2:$D$101,C42,competitors!$H$2:$H$101,D42,competitors!$I$2:$I$101,E42,competitors!$L$2:$L$101,F42))</f>
        <v/>
      </c>
      <c r="I42" s="29">
        <f>IF(B42="","",IF(G42&gt;=5,"많음",IF(G42&gt;=3,"중간",IF(G42&gt;=1,"적음",IF(H42&gt;=1,"가능","어려움")))))</f>
        <v/>
      </c>
      <c r="J42" s="29">
        <f t="array" ref="J42">IF(B42="","",TEXTJOIN(", ",TRUE(),IF((competitors!$C$2:$C$101=B42)*(competitors!$D$2:$D$101=C42)*(competitors!$H$2:$H$101=D42)*(competitors!$I$2:$I$101=E42)*(competitors!$L$2:$L$101=F42),competitors!$B$2:$B$101,"")))</f>
        <v/>
      </c>
      <c r="K42" s="25" t="n"/>
      <c r="L42" s="41">
        <f>IF(B42="","",TODAY())</f>
        <v/>
      </c>
    </row>
    <row r="43" ht="15.75" customHeight="1" s="42">
      <c r="A43" s="40">
        <f>IF(B43="","","BM"&amp;TEXT(ROW()-1,"000"))</f>
        <v/>
      </c>
      <c r="B43" s="29">
        <f t="array" ref="B43">IFERROR(INDEX(competitors!$C$2:$C$101,MATCH(42,competitors!$R$2:$R$101,0)),"")</f>
        <v/>
      </c>
      <c r="C43" s="29">
        <f t="array" ref="C43">IFERROR(INDEX(competitors!$D$2:$D$101,MATCH(42,competitors!$R$2:$R$101,0)),"")</f>
        <v/>
      </c>
      <c r="D43" s="29">
        <f t="array" ref="D43">IFERROR(INDEX(competitors!$H$2:$H$101,MATCH(42,competitors!$R$2:$R$101,0)),"")</f>
        <v/>
      </c>
      <c r="E43" s="29">
        <f t="array" ref="E43">IFERROR(INDEX(competitors!$I$2:$I$101,MATCH(42,competitors!$R$2:$R$101,0)),"")</f>
        <v/>
      </c>
      <c r="F43" s="29">
        <f t="array" ref="F43">IFERROR(INDEX(competitors!$L$2:$L$101,MATCH(42,competitors!$R$2:$R$101,0)),"")</f>
        <v/>
      </c>
      <c r="G43" s="29">
        <f>IF(B43="","",COUNTIFS(competitors!$C$2:$C$101,B43,competitors!$D$2:$D$101,C43,competitors!$H$2:$H$101,D43,competitors!$I$2:$I$101,E43,competitors!$L$2:$L$101,F43,competitors!$E$2:$E$101,"한국"))</f>
        <v/>
      </c>
      <c r="H43" s="29">
        <f>IF(B43="","",COUNTIFS(competitors!$C$2:$C$101,B43,competitors!$D$2:$D$101,C43,competitors!$H$2:$H$101,D43,competitors!$I$2:$I$101,E43,competitors!$L$2:$L$101,F43))</f>
        <v/>
      </c>
      <c r="I43" s="29">
        <f>IF(B43="","",IF(G43&gt;=5,"많음",IF(G43&gt;=3,"중간",IF(G43&gt;=1,"적음",IF(H43&gt;=1,"가능","어려움")))))</f>
        <v/>
      </c>
      <c r="J43" s="29">
        <f t="array" ref="J43">IF(B43="","",TEXTJOIN(", ",TRUE(),IF((competitors!$C$2:$C$101=B43)*(competitors!$D$2:$D$101=C43)*(competitors!$H$2:$H$101=D43)*(competitors!$I$2:$I$101=E43)*(competitors!$L$2:$L$101=F43),competitors!$B$2:$B$101,"")))</f>
        <v/>
      </c>
      <c r="K43" s="25" t="n"/>
      <c r="L43" s="41">
        <f>IF(B43="","",TODAY())</f>
        <v/>
      </c>
    </row>
    <row r="44" ht="15.75" customHeight="1" s="42">
      <c r="A44" s="40">
        <f>IF(B44="","","BM"&amp;TEXT(ROW()-1,"000"))</f>
        <v/>
      </c>
      <c r="B44" s="29">
        <f t="array" ref="B44">IFERROR(INDEX(competitors!$C$2:$C$101,MATCH(43,competitors!$R$2:$R$101,0)),"")</f>
        <v/>
      </c>
      <c r="C44" s="29">
        <f t="array" ref="C44">IFERROR(INDEX(competitors!$D$2:$D$101,MATCH(43,competitors!$R$2:$R$101,0)),"")</f>
        <v/>
      </c>
      <c r="D44" s="29">
        <f t="array" ref="D44">IFERROR(INDEX(competitors!$H$2:$H$101,MATCH(43,competitors!$R$2:$R$101,0)),"")</f>
        <v/>
      </c>
      <c r="E44" s="29">
        <f t="array" ref="E44">IFERROR(INDEX(competitors!$I$2:$I$101,MATCH(43,competitors!$R$2:$R$101,0)),"")</f>
        <v/>
      </c>
      <c r="F44" s="29">
        <f t="array" ref="F44">IFERROR(INDEX(competitors!$L$2:$L$101,MATCH(43,competitors!$R$2:$R$101,0)),"")</f>
        <v/>
      </c>
      <c r="G44" s="29">
        <f>IF(B44="","",COUNTIFS(competitors!$C$2:$C$101,B44,competitors!$D$2:$D$101,C44,competitors!$H$2:$H$101,D44,competitors!$I$2:$I$101,E44,competitors!$L$2:$L$101,F44,competitors!$E$2:$E$101,"한국"))</f>
        <v/>
      </c>
      <c r="H44" s="29">
        <f>IF(B44="","",COUNTIFS(competitors!$C$2:$C$101,B44,competitors!$D$2:$D$101,C44,competitors!$H$2:$H$101,D44,competitors!$I$2:$I$101,E44,competitors!$L$2:$L$101,F44))</f>
        <v/>
      </c>
      <c r="I44" s="29">
        <f>IF(B44="","",IF(G44&gt;=5,"많음",IF(G44&gt;=3,"중간",IF(G44&gt;=1,"적음",IF(H44&gt;=1,"가능","어려움")))))</f>
        <v/>
      </c>
      <c r="J44" s="29">
        <f t="array" ref="J44">IF(B44="","",TEXTJOIN(", ",TRUE(),IF((competitors!$C$2:$C$101=B44)*(competitors!$D$2:$D$101=C44)*(competitors!$H$2:$H$101=D44)*(competitors!$I$2:$I$101=E44)*(competitors!$L$2:$L$101=F44),competitors!$B$2:$B$101,"")))</f>
        <v/>
      </c>
      <c r="K44" s="25" t="n"/>
      <c r="L44" s="41">
        <f>IF(B44="","",TODAY())</f>
        <v/>
      </c>
    </row>
    <row r="45" ht="15.75" customHeight="1" s="42">
      <c r="A45" s="40">
        <f>IF(B45="","","BM"&amp;TEXT(ROW()-1,"000"))</f>
        <v/>
      </c>
      <c r="B45" s="29">
        <f t="array" ref="B45">IFERROR(INDEX(competitors!$C$2:$C$101,MATCH(44,competitors!$R$2:$R$101,0)),"")</f>
        <v/>
      </c>
      <c r="C45" s="29">
        <f t="array" ref="C45">IFERROR(INDEX(competitors!$D$2:$D$101,MATCH(44,competitors!$R$2:$R$101,0)),"")</f>
        <v/>
      </c>
      <c r="D45" s="29">
        <f t="array" ref="D45">IFERROR(INDEX(competitors!$H$2:$H$101,MATCH(44,competitors!$R$2:$R$101,0)),"")</f>
        <v/>
      </c>
      <c r="E45" s="29">
        <f t="array" ref="E45">IFERROR(INDEX(competitors!$I$2:$I$101,MATCH(44,competitors!$R$2:$R$101,0)),"")</f>
        <v/>
      </c>
      <c r="F45" s="29">
        <f t="array" ref="F45">IFERROR(INDEX(competitors!$L$2:$L$101,MATCH(44,competitors!$R$2:$R$101,0)),"")</f>
        <v/>
      </c>
      <c r="G45" s="29">
        <f>IF(B45="","",COUNTIFS(competitors!$C$2:$C$101,B45,competitors!$D$2:$D$101,C45,competitors!$H$2:$H$101,D45,competitors!$I$2:$I$101,E45,competitors!$L$2:$L$101,F45,competitors!$E$2:$E$101,"한국"))</f>
        <v/>
      </c>
      <c r="H45" s="29">
        <f>IF(B45="","",COUNTIFS(competitors!$C$2:$C$101,B45,competitors!$D$2:$D$101,C45,competitors!$H$2:$H$101,D45,competitors!$I$2:$I$101,E45,competitors!$L$2:$L$101,F45))</f>
        <v/>
      </c>
      <c r="I45" s="29">
        <f>IF(B45="","",IF(G45&gt;=5,"많음",IF(G45&gt;=3,"중간",IF(G45&gt;=1,"적음",IF(H45&gt;=1,"가능","어려움")))))</f>
        <v/>
      </c>
      <c r="J45" s="29">
        <f t="array" ref="J45">IF(B45="","",TEXTJOIN(", ",TRUE(),IF((competitors!$C$2:$C$101=B45)*(competitors!$D$2:$D$101=C45)*(competitors!$H$2:$H$101=D45)*(competitors!$I$2:$I$101=E45)*(competitors!$L$2:$L$101=F45),competitors!$B$2:$B$101,"")))</f>
        <v/>
      </c>
      <c r="K45" s="25" t="n"/>
      <c r="L45" s="41">
        <f>IF(B45="","",TODAY())</f>
        <v/>
      </c>
    </row>
    <row r="46" ht="15.75" customHeight="1" s="42">
      <c r="A46" s="40">
        <f>IF(B46="","","BM"&amp;TEXT(ROW()-1,"000"))</f>
        <v/>
      </c>
      <c r="B46" s="29">
        <f t="array" ref="B46">IFERROR(INDEX(competitors!$C$2:$C$101,MATCH(45,competitors!$R$2:$R$101,0)),"")</f>
        <v/>
      </c>
      <c r="C46" s="29">
        <f t="array" ref="C46">IFERROR(INDEX(competitors!$D$2:$D$101,MATCH(45,competitors!$R$2:$R$101,0)),"")</f>
        <v/>
      </c>
      <c r="D46" s="29">
        <f t="array" ref="D46">IFERROR(INDEX(competitors!$H$2:$H$101,MATCH(45,competitors!$R$2:$R$101,0)),"")</f>
        <v/>
      </c>
      <c r="E46" s="29">
        <f t="array" ref="E46">IFERROR(INDEX(competitors!$I$2:$I$101,MATCH(45,competitors!$R$2:$R$101,0)),"")</f>
        <v/>
      </c>
      <c r="F46" s="29">
        <f t="array" ref="F46">IFERROR(INDEX(competitors!$L$2:$L$101,MATCH(45,competitors!$R$2:$R$101,0)),"")</f>
        <v/>
      </c>
      <c r="G46" s="29">
        <f>IF(B46="","",COUNTIFS(competitors!$C$2:$C$101,B46,competitors!$D$2:$D$101,C46,competitors!$H$2:$H$101,D46,competitors!$I$2:$I$101,E46,competitors!$L$2:$L$101,F46,competitors!$E$2:$E$101,"한국"))</f>
        <v/>
      </c>
      <c r="H46" s="29">
        <f>IF(B46="","",COUNTIFS(competitors!$C$2:$C$101,B46,competitors!$D$2:$D$101,C46,competitors!$H$2:$H$101,D46,competitors!$I$2:$I$101,E46,competitors!$L$2:$L$101,F46))</f>
        <v/>
      </c>
      <c r="I46" s="29">
        <f>IF(B46="","",IF(G46&gt;=5,"많음",IF(G46&gt;=3,"중간",IF(G46&gt;=1,"적음",IF(H46&gt;=1,"가능","어려움")))))</f>
        <v/>
      </c>
      <c r="J46" s="29">
        <f t="array" ref="J46">IF(B46="","",TEXTJOIN(", ",TRUE(),IF((competitors!$C$2:$C$101=B46)*(competitors!$D$2:$D$101=C46)*(competitors!$H$2:$H$101=D46)*(competitors!$I$2:$I$101=E46)*(competitors!$L$2:$L$101=F46),competitors!$B$2:$B$101,"")))</f>
        <v/>
      </c>
      <c r="K46" s="25" t="n"/>
      <c r="L46" s="41">
        <f>IF(B46="","",TODAY())</f>
        <v/>
      </c>
    </row>
    <row r="47" ht="15.75" customHeight="1" s="42">
      <c r="A47" s="40">
        <f>IF(B47="","","BM"&amp;TEXT(ROW()-1,"000"))</f>
        <v/>
      </c>
      <c r="B47" s="29">
        <f t="array" ref="B47">IFERROR(INDEX(competitors!$C$2:$C$101,MATCH(46,competitors!$R$2:$R$101,0)),"")</f>
        <v/>
      </c>
      <c r="C47" s="29">
        <f t="array" ref="C47">IFERROR(INDEX(competitors!$D$2:$D$101,MATCH(46,competitors!$R$2:$R$101,0)),"")</f>
        <v/>
      </c>
      <c r="D47" s="29">
        <f t="array" ref="D47">IFERROR(INDEX(competitors!$H$2:$H$101,MATCH(46,competitors!$R$2:$R$101,0)),"")</f>
        <v/>
      </c>
      <c r="E47" s="29">
        <f t="array" ref="E47">IFERROR(INDEX(competitors!$I$2:$I$101,MATCH(46,competitors!$R$2:$R$101,0)),"")</f>
        <v/>
      </c>
      <c r="F47" s="29">
        <f t="array" ref="F47">IFERROR(INDEX(competitors!$L$2:$L$101,MATCH(46,competitors!$R$2:$R$101,0)),"")</f>
        <v/>
      </c>
      <c r="G47" s="29">
        <f>IF(B47="","",COUNTIFS(competitors!$C$2:$C$101,B47,competitors!$D$2:$D$101,C47,competitors!$H$2:$H$101,D47,competitors!$I$2:$I$101,E47,competitors!$L$2:$L$101,F47,competitors!$E$2:$E$101,"한국"))</f>
        <v/>
      </c>
      <c r="H47" s="29">
        <f>IF(B47="","",COUNTIFS(competitors!$C$2:$C$101,B47,competitors!$D$2:$D$101,C47,competitors!$H$2:$H$101,D47,competitors!$I$2:$I$101,E47,competitors!$L$2:$L$101,F47))</f>
        <v/>
      </c>
      <c r="I47" s="29">
        <f>IF(B47="","",IF(G47&gt;=5,"많음",IF(G47&gt;=3,"중간",IF(G47&gt;=1,"적음",IF(H47&gt;=1,"가능","어려움")))))</f>
        <v/>
      </c>
      <c r="J47" s="29">
        <f t="array" ref="J47">IF(B47="","",TEXTJOIN(", ",TRUE(),IF((competitors!$C$2:$C$101=B47)*(competitors!$D$2:$D$101=C47)*(competitors!$H$2:$H$101=D47)*(competitors!$I$2:$I$101=E47)*(competitors!$L$2:$L$101=F47),competitors!$B$2:$B$101,"")))</f>
        <v/>
      </c>
      <c r="K47" s="25" t="n"/>
      <c r="L47" s="41">
        <f>IF(B47="","",TODAY())</f>
        <v/>
      </c>
    </row>
    <row r="48" ht="15.75" customHeight="1" s="42">
      <c r="A48" s="40">
        <f>IF(B48="","","BM"&amp;TEXT(ROW()-1,"000"))</f>
        <v/>
      </c>
      <c r="B48" s="29">
        <f t="array" ref="B48">IFERROR(INDEX(competitors!$C$2:$C$101,MATCH(47,competitors!$R$2:$R$101,0)),"")</f>
        <v/>
      </c>
      <c r="C48" s="29">
        <f t="array" ref="C48">IFERROR(INDEX(competitors!$D$2:$D$101,MATCH(47,competitors!$R$2:$R$101,0)),"")</f>
        <v/>
      </c>
      <c r="D48" s="29">
        <f t="array" ref="D48">IFERROR(INDEX(competitors!$H$2:$H$101,MATCH(47,competitors!$R$2:$R$101,0)),"")</f>
        <v/>
      </c>
      <c r="E48" s="29">
        <f t="array" ref="E48">IFERROR(INDEX(competitors!$I$2:$I$101,MATCH(47,competitors!$R$2:$R$101,0)),"")</f>
        <v/>
      </c>
      <c r="F48" s="29">
        <f t="array" ref="F48">IFERROR(INDEX(competitors!$L$2:$L$101,MATCH(47,competitors!$R$2:$R$101,0)),"")</f>
        <v/>
      </c>
      <c r="G48" s="29">
        <f>IF(B48="","",COUNTIFS(competitors!$C$2:$C$101,B48,competitors!$D$2:$D$101,C48,competitors!$H$2:$H$101,D48,competitors!$I$2:$I$101,E48,competitors!$L$2:$L$101,F48,competitors!$E$2:$E$101,"한국"))</f>
        <v/>
      </c>
      <c r="H48" s="29">
        <f>IF(B48="","",COUNTIFS(competitors!$C$2:$C$101,B48,competitors!$D$2:$D$101,C48,competitors!$H$2:$H$101,D48,competitors!$I$2:$I$101,E48,competitors!$L$2:$L$101,F48))</f>
        <v/>
      </c>
      <c r="I48" s="29">
        <f>IF(B48="","",IF(G48&gt;=5,"많음",IF(G48&gt;=3,"중간",IF(G48&gt;=1,"적음",IF(H48&gt;=1,"가능","어려움")))))</f>
        <v/>
      </c>
      <c r="J48" s="29">
        <f t="array" ref="J48">IF(B48="","",TEXTJOIN(", ",TRUE(),IF((competitors!$C$2:$C$101=B48)*(competitors!$D$2:$D$101=C48)*(competitors!$H$2:$H$101=D48)*(competitors!$I$2:$I$101=E48)*(competitors!$L$2:$L$101=F48),competitors!$B$2:$B$101,"")))</f>
        <v/>
      </c>
      <c r="K48" s="25" t="n"/>
      <c r="L48" s="41">
        <f>IF(B48="","",TODAY())</f>
        <v/>
      </c>
    </row>
    <row r="49" ht="15.75" customHeight="1" s="42">
      <c r="A49" s="40">
        <f>IF(B49="","","BM"&amp;TEXT(ROW()-1,"000"))</f>
        <v/>
      </c>
      <c r="B49" s="29">
        <f t="array" ref="B49">IFERROR(INDEX(competitors!$C$2:$C$101,MATCH(48,competitors!$R$2:$R$101,0)),"")</f>
        <v/>
      </c>
      <c r="C49" s="29">
        <f t="array" ref="C49">IFERROR(INDEX(competitors!$D$2:$D$101,MATCH(48,competitors!$R$2:$R$101,0)),"")</f>
        <v/>
      </c>
      <c r="D49" s="29">
        <f t="array" ref="D49">IFERROR(INDEX(competitors!$H$2:$H$101,MATCH(48,competitors!$R$2:$R$101,0)),"")</f>
        <v/>
      </c>
      <c r="E49" s="29">
        <f t="array" ref="E49">IFERROR(INDEX(competitors!$I$2:$I$101,MATCH(48,competitors!$R$2:$R$101,0)),"")</f>
        <v/>
      </c>
      <c r="F49" s="29">
        <f t="array" ref="F49">IFERROR(INDEX(competitors!$L$2:$L$101,MATCH(48,competitors!$R$2:$R$101,0)),"")</f>
        <v/>
      </c>
      <c r="G49" s="29">
        <f>IF(B49="","",COUNTIFS(competitors!$C$2:$C$101,B49,competitors!$D$2:$D$101,C49,competitors!$H$2:$H$101,D49,competitors!$I$2:$I$101,E49,competitors!$L$2:$L$101,F49,competitors!$E$2:$E$101,"한국"))</f>
        <v/>
      </c>
      <c r="H49" s="29">
        <f>IF(B49="","",COUNTIFS(competitors!$C$2:$C$101,B49,competitors!$D$2:$D$101,C49,competitors!$H$2:$H$101,D49,competitors!$I$2:$I$101,E49,competitors!$L$2:$L$101,F49))</f>
        <v/>
      </c>
      <c r="I49" s="29">
        <f>IF(B49="","",IF(G49&gt;=5,"많음",IF(G49&gt;=3,"중간",IF(G49&gt;=1,"적음",IF(H49&gt;=1,"가능","어려움")))))</f>
        <v/>
      </c>
      <c r="J49" s="29">
        <f t="array" ref="J49">IF(B49="","",TEXTJOIN(", ",TRUE(),IF((competitors!$C$2:$C$101=B49)*(competitors!$D$2:$D$101=C49)*(competitors!$H$2:$H$101=D49)*(competitors!$I$2:$I$101=E49)*(competitors!$L$2:$L$101=F49),competitors!$B$2:$B$101,"")))</f>
        <v/>
      </c>
      <c r="K49" s="25" t="n"/>
      <c r="L49" s="41">
        <f>IF(B49="","",TODAY())</f>
        <v/>
      </c>
    </row>
    <row r="50" ht="15.75" customHeight="1" s="42">
      <c r="A50" s="40">
        <f>IF(B50="","","BM"&amp;TEXT(ROW()-1,"000"))</f>
        <v/>
      </c>
      <c r="B50" s="29">
        <f t="array" ref="B50">IFERROR(INDEX(competitors!$C$2:$C$101,MATCH(49,competitors!$R$2:$R$101,0)),"")</f>
        <v/>
      </c>
      <c r="C50" s="29">
        <f t="array" ref="C50">IFERROR(INDEX(competitors!$D$2:$D$101,MATCH(49,competitors!$R$2:$R$101,0)),"")</f>
        <v/>
      </c>
      <c r="D50" s="29">
        <f t="array" ref="D50">IFERROR(INDEX(competitors!$H$2:$H$101,MATCH(49,competitors!$R$2:$R$101,0)),"")</f>
        <v/>
      </c>
      <c r="E50" s="29">
        <f t="array" ref="E50">IFERROR(INDEX(competitors!$I$2:$I$101,MATCH(49,competitors!$R$2:$R$101,0)),"")</f>
        <v/>
      </c>
      <c r="F50" s="29">
        <f t="array" ref="F50">IFERROR(INDEX(competitors!$L$2:$L$101,MATCH(49,competitors!$R$2:$R$101,0)),"")</f>
        <v/>
      </c>
      <c r="G50" s="29">
        <f>IF(B50="","",COUNTIFS(competitors!$C$2:$C$101,B50,competitors!$D$2:$D$101,C50,competitors!$H$2:$H$101,D50,competitors!$I$2:$I$101,E50,competitors!$L$2:$L$101,F50,competitors!$E$2:$E$101,"한국"))</f>
        <v/>
      </c>
      <c r="H50" s="29">
        <f>IF(B50="","",COUNTIFS(competitors!$C$2:$C$101,B50,competitors!$D$2:$D$101,C50,competitors!$H$2:$H$101,D50,competitors!$I$2:$I$101,E50,competitors!$L$2:$L$101,F50))</f>
        <v/>
      </c>
      <c r="I50" s="29">
        <f>IF(B50="","",IF(G50&gt;=5,"많음",IF(G50&gt;=3,"중간",IF(G50&gt;=1,"적음",IF(H50&gt;=1,"가능","어려움")))))</f>
        <v/>
      </c>
      <c r="J50" s="29">
        <f t="array" ref="J50">IF(B50="","",TEXTJOIN(", ",TRUE(),IF((competitors!$C$2:$C$101=B50)*(competitors!$D$2:$D$101=C50)*(competitors!$H$2:$H$101=D50)*(competitors!$I$2:$I$101=E50)*(competitors!$L$2:$L$101=F50),competitors!$B$2:$B$101,"")))</f>
        <v/>
      </c>
      <c r="K50" s="25" t="n"/>
      <c r="L50" s="41">
        <f>IF(B50="","",TODAY())</f>
        <v/>
      </c>
    </row>
    <row r="51" ht="15.75" customHeight="1" s="42">
      <c r="A51" s="40">
        <f>IF(B51="","","BM"&amp;TEXT(ROW()-1,"000"))</f>
        <v/>
      </c>
      <c r="B51" s="29">
        <f t="array" ref="B51">IFERROR(INDEX(competitors!$C$2:$C$101,MATCH(50,competitors!$R$2:$R$101,0)),"")</f>
        <v/>
      </c>
      <c r="C51" s="29">
        <f t="array" ref="C51">IFERROR(INDEX(competitors!$D$2:$D$101,MATCH(50,competitors!$R$2:$R$101,0)),"")</f>
        <v/>
      </c>
      <c r="D51" s="29">
        <f t="array" ref="D51">IFERROR(INDEX(competitors!$H$2:$H$101,MATCH(50,competitors!$R$2:$R$101,0)),"")</f>
        <v/>
      </c>
      <c r="E51" s="29">
        <f t="array" ref="E51">IFERROR(INDEX(competitors!$I$2:$I$101,MATCH(50,competitors!$R$2:$R$101,0)),"")</f>
        <v/>
      </c>
      <c r="F51" s="29">
        <f t="array" ref="F51">IFERROR(INDEX(competitors!$L$2:$L$101,MATCH(50,competitors!$R$2:$R$101,0)),"")</f>
        <v/>
      </c>
      <c r="G51" s="29">
        <f>IF(B51="","",COUNTIFS(competitors!$C$2:$C$101,B51,competitors!$D$2:$D$101,C51,competitors!$H$2:$H$101,D51,competitors!$I$2:$I$101,E51,competitors!$L$2:$L$101,F51,competitors!$E$2:$E$101,"한국"))</f>
        <v/>
      </c>
      <c r="H51" s="29">
        <f>IF(B51="","",COUNTIFS(competitors!$C$2:$C$101,B51,competitors!$D$2:$D$101,C51,competitors!$H$2:$H$101,D51,competitors!$I$2:$I$101,E51,competitors!$L$2:$L$101,F51))</f>
        <v/>
      </c>
      <c r="I51" s="29">
        <f>IF(B51="","",IF(G51&gt;=5,"많음",IF(G51&gt;=3,"중간",IF(G51&gt;=1,"적음",IF(H51&gt;=1,"가능","어려움")))))</f>
        <v/>
      </c>
      <c r="J51" s="29">
        <f t="array" ref="J51">IF(B51="","",TEXTJOIN(", ",TRUE(),IF((competitors!$C$2:$C$101=B51)*(competitors!$D$2:$D$101=C51)*(competitors!$H$2:$H$101=D51)*(competitors!$I$2:$I$101=E51)*(competitors!$L$2:$L$101=F51),competitors!$B$2:$B$101,"")))</f>
        <v/>
      </c>
      <c r="K51" s="25" t="n"/>
      <c r="L51" s="41">
        <f>IF(B51="","",TODAY())</f>
        <v/>
      </c>
    </row>
    <row r="52" ht="15.75" customHeight="1" s="42">
      <c r="A52" s="40">
        <f>IF(B52="","","BM"&amp;TEXT(ROW()-1,"000"))</f>
        <v/>
      </c>
      <c r="B52" s="29">
        <f t="array" ref="B52">IFERROR(INDEX(competitors!$C$2:$C$101,MATCH(51,competitors!$R$2:$R$101,0)),"")</f>
        <v/>
      </c>
      <c r="C52" s="29">
        <f t="array" ref="C52">IFERROR(INDEX(competitors!$D$2:$D$101,MATCH(51,competitors!$R$2:$R$101,0)),"")</f>
        <v/>
      </c>
      <c r="D52" s="29">
        <f t="array" ref="D52">IFERROR(INDEX(competitors!$H$2:$H$101,MATCH(51,competitors!$R$2:$R$101,0)),"")</f>
        <v/>
      </c>
      <c r="E52" s="29">
        <f t="array" ref="E52">IFERROR(INDEX(competitors!$I$2:$I$101,MATCH(51,competitors!$R$2:$R$101,0)),"")</f>
        <v/>
      </c>
      <c r="F52" s="29">
        <f t="array" ref="F52">IFERROR(INDEX(competitors!$L$2:$L$101,MATCH(51,competitors!$R$2:$R$101,0)),"")</f>
        <v/>
      </c>
      <c r="G52" s="29">
        <f>IF(B52="","",COUNTIFS(competitors!$C$2:$C$101,B52,competitors!$D$2:$D$101,C52,competitors!$H$2:$H$101,D52,competitors!$I$2:$I$101,E52,competitors!$L$2:$L$101,F52,competitors!$E$2:$E$101,"한국"))</f>
        <v/>
      </c>
      <c r="H52" s="29">
        <f>IF(B52="","",COUNTIFS(competitors!$C$2:$C$101,B52,competitors!$D$2:$D$101,C52,competitors!$H$2:$H$101,D52,competitors!$I$2:$I$101,E52,competitors!$L$2:$L$101,F52))</f>
        <v/>
      </c>
      <c r="I52" s="29">
        <f>IF(B52="","",IF(G52&gt;=5,"많음",IF(G52&gt;=3,"중간",IF(G52&gt;=1,"적음",IF(H52&gt;=1,"가능","어려움")))))</f>
        <v/>
      </c>
      <c r="J52" s="29">
        <f t="array" ref="J52">IF(B52="","",TEXTJOIN(", ",TRUE(),IF((competitors!$C$2:$C$101=B52)*(competitors!$D$2:$D$101=C52)*(competitors!$H$2:$H$101=D52)*(competitors!$I$2:$I$101=E52)*(competitors!$L$2:$L$101=F52),competitors!$B$2:$B$101,"")))</f>
        <v/>
      </c>
      <c r="K52" s="25" t="n"/>
      <c r="L52" s="41">
        <f>IF(B52="","",TODAY())</f>
        <v/>
      </c>
    </row>
    <row r="53" ht="15.75" customHeight="1" s="42">
      <c r="A53" s="40">
        <f>IF(B53="","","BM"&amp;TEXT(ROW()-1,"000"))</f>
        <v/>
      </c>
      <c r="B53" s="29">
        <f t="array" ref="B53">IFERROR(INDEX(competitors!$C$2:$C$101,MATCH(52,competitors!$R$2:$R$101,0)),"")</f>
        <v/>
      </c>
      <c r="C53" s="29">
        <f t="array" ref="C53">IFERROR(INDEX(competitors!$D$2:$D$101,MATCH(52,competitors!$R$2:$R$101,0)),"")</f>
        <v/>
      </c>
      <c r="D53" s="29">
        <f t="array" ref="D53">IFERROR(INDEX(competitors!$H$2:$H$101,MATCH(52,competitors!$R$2:$R$101,0)),"")</f>
        <v/>
      </c>
      <c r="E53" s="29">
        <f t="array" ref="E53">IFERROR(INDEX(competitors!$I$2:$I$101,MATCH(52,competitors!$R$2:$R$101,0)),"")</f>
        <v/>
      </c>
      <c r="F53" s="29">
        <f t="array" ref="F53">IFERROR(INDEX(competitors!$L$2:$L$101,MATCH(52,competitors!$R$2:$R$101,0)),"")</f>
        <v/>
      </c>
      <c r="G53" s="29">
        <f>IF(B53="","",COUNTIFS(competitors!$C$2:$C$101,B53,competitors!$D$2:$D$101,C53,competitors!$H$2:$H$101,D53,competitors!$I$2:$I$101,E53,competitors!$L$2:$L$101,F53,competitors!$E$2:$E$101,"한국"))</f>
        <v/>
      </c>
      <c r="H53" s="29">
        <f>IF(B53="","",COUNTIFS(competitors!$C$2:$C$101,B53,competitors!$D$2:$D$101,C53,competitors!$H$2:$H$101,D53,competitors!$I$2:$I$101,E53,competitors!$L$2:$L$101,F53))</f>
        <v/>
      </c>
      <c r="I53" s="29">
        <f>IF(B53="","",IF(G53&gt;=5,"많음",IF(G53&gt;=3,"중간",IF(G53&gt;=1,"적음",IF(H53&gt;=1,"가능","어려움")))))</f>
        <v/>
      </c>
      <c r="J53" s="29">
        <f t="array" ref="J53">IF(B53="","",TEXTJOIN(", ",TRUE(),IF((competitors!$C$2:$C$101=B53)*(competitors!$D$2:$D$101=C53)*(competitors!$H$2:$H$101=D53)*(competitors!$I$2:$I$101=E53)*(competitors!$L$2:$L$101=F53),competitors!$B$2:$B$101,"")))</f>
        <v/>
      </c>
      <c r="K53" s="25" t="n"/>
      <c r="L53" s="41">
        <f>IF(B53="","",TODAY())</f>
        <v/>
      </c>
    </row>
    <row r="54" ht="15.75" customHeight="1" s="42">
      <c r="A54" s="40">
        <f>IF(B54="","","BM"&amp;TEXT(ROW()-1,"000"))</f>
        <v/>
      </c>
      <c r="B54" s="29">
        <f t="array" ref="B54">IFERROR(INDEX(competitors!$C$2:$C$101,MATCH(53,competitors!$R$2:$R$101,0)),"")</f>
        <v/>
      </c>
      <c r="C54" s="29">
        <f t="array" ref="C54">IFERROR(INDEX(competitors!$D$2:$D$101,MATCH(53,competitors!$R$2:$R$101,0)),"")</f>
        <v/>
      </c>
      <c r="D54" s="29">
        <f t="array" ref="D54">IFERROR(INDEX(competitors!$H$2:$H$101,MATCH(53,competitors!$R$2:$R$101,0)),"")</f>
        <v/>
      </c>
      <c r="E54" s="29">
        <f t="array" ref="E54">IFERROR(INDEX(competitors!$I$2:$I$101,MATCH(53,competitors!$R$2:$R$101,0)),"")</f>
        <v/>
      </c>
      <c r="F54" s="29">
        <f t="array" ref="F54">IFERROR(INDEX(competitors!$L$2:$L$101,MATCH(53,competitors!$R$2:$R$101,0)),"")</f>
        <v/>
      </c>
      <c r="G54" s="29">
        <f>IF(B54="","",COUNTIFS(competitors!$C$2:$C$101,B54,competitors!$D$2:$D$101,C54,competitors!$H$2:$H$101,D54,competitors!$I$2:$I$101,E54,competitors!$L$2:$L$101,F54,competitors!$E$2:$E$101,"한국"))</f>
        <v/>
      </c>
      <c r="H54" s="29">
        <f>IF(B54="","",COUNTIFS(competitors!$C$2:$C$101,B54,competitors!$D$2:$D$101,C54,competitors!$H$2:$H$101,D54,competitors!$I$2:$I$101,E54,competitors!$L$2:$L$101,F54))</f>
        <v/>
      </c>
      <c r="I54" s="29">
        <f>IF(B54="","",IF(G54&gt;=5,"많음",IF(G54&gt;=3,"중간",IF(G54&gt;=1,"적음",IF(H54&gt;=1,"가능","어려움")))))</f>
        <v/>
      </c>
      <c r="J54" s="29">
        <f t="array" ref="J54">IF(B54="","",TEXTJOIN(", ",TRUE(),IF((competitors!$C$2:$C$101=B54)*(competitors!$D$2:$D$101=C54)*(competitors!$H$2:$H$101=D54)*(competitors!$I$2:$I$101=E54)*(competitors!$L$2:$L$101=F54),competitors!$B$2:$B$101,"")))</f>
        <v/>
      </c>
      <c r="K54" s="25" t="n"/>
      <c r="L54" s="41">
        <f>IF(B54="","",TODAY())</f>
        <v/>
      </c>
    </row>
    <row r="55" ht="15.75" customHeight="1" s="42">
      <c r="A55" s="40">
        <f>IF(B55="","","BM"&amp;TEXT(ROW()-1,"000"))</f>
        <v/>
      </c>
      <c r="B55" s="29">
        <f t="array" ref="B55">IFERROR(INDEX(competitors!$C$2:$C$101,MATCH(54,competitors!$R$2:$R$101,0)),"")</f>
        <v/>
      </c>
      <c r="C55" s="29">
        <f t="array" ref="C55">IFERROR(INDEX(competitors!$D$2:$D$101,MATCH(54,competitors!$R$2:$R$101,0)),"")</f>
        <v/>
      </c>
      <c r="D55" s="29">
        <f t="array" ref="D55">IFERROR(INDEX(competitors!$H$2:$H$101,MATCH(54,competitors!$R$2:$R$101,0)),"")</f>
        <v/>
      </c>
      <c r="E55" s="29">
        <f t="array" ref="E55">IFERROR(INDEX(competitors!$I$2:$I$101,MATCH(54,competitors!$R$2:$R$101,0)),"")</f>
        <v/>
      </c>
      <c r="F55" s="29">
        <f t="array" ref="F55">IFERROR(INDEX(competitors!$L$2:$L$101,MATCH(54,competitors!$R$2:$R$101,0)),"")</f>
        <v/>
      </c>
      <c r="G55" s="29">
        <f>IF(B55="","",COUNTIFS(competitors!$C$2:$C$101,B55,competitors!$D$2:$D$101,C55,competitors!$H$2:$H$101,D55,competitors!$I$2:$I$101,E55,competitors!$L$2:$L$101,F55,competitors!$E$2:$E$101,"한국"))</f>
        <v/>
      </c>
      <c r="H55" s="29">
        <f>IF(B55="","",COUNTIFS(competitors!$C$2:$C$101,B55,competitors!$D$2:$D$101,C55,competitors!$H$2:$H$101,D55,competitors!$I$2:$I$101,E55,competitors!$L$2:$L$101,F55))</f>
        <v/>
      </c>
      <c r="I55" s="29">
        <f>IF(B55="","",IF(G55&gt;=5,"많음",IF(G55&gt;=3,"중간",IF(G55&gt;=1,"적음",IF(H55&gt;=1,"가능","어려움")))))</f>
        <v/>
      </c>
      <c r="J55" s="29">
        <f t="array" ref="J55">IF(B55="","",TEXTJOIN(", ",TRUE(),IF((competitors!$C$2:$C$101=B55)*(competitors!$D$2:$D$101=C55)*(competitors!$H$2:$H$101=D55)*(competitors!$I$2:$I$101=E55)*(competitors!$L$2:$L$101=F55),competitors!$B$2:$B$101,"")))</f>
        <v/>
      </c>
      <c r="K55" s="25" t="n"/>
      <c r="L55" s="41">
        <f>IF(B55="","",TODAY())</f>
        <v/>
      </c>
    </row>
    <row r="56" ht="15.75" customHeight="1" s="42">
      <c r="A56" s="40">
        <f>IF(B56="","","BM"&amp;TEXT(ROW()-1,"000"))</f>
        <v/>
      </c>
      <c r="B56" s="29">
        <f t="array" ref="B56">IFERROR(INDEX(competitors!$C$2:$C$101,MATCH(55,competitors!$R$2:$R$101,0)),"")</f>
        <v/>
      </c>
      <c r="C56" s="29">
        <f t="array" ref="C56">IFERROR(INDEX(competitors!$D$2:$D$101,MATCH(55,competitors!$R$2:$R$101,0)),"")</f>
        <v/>
      </c>
      <c r="D56" s="29">
        <f t="array" ref="D56">IFERROR(INDEX(competitors!$H$2:$H$101,MATCH(55,competitors!$R$2:$R$101,0)),"")</f>
        <v/>
      </c>
      <c r="E56" s="29">
        <f t="array" ref="E56">IFERROR(INDEX(competitors!$I$2:$I$101,MATCH(55,competitors!$R$2:$R$101,0)),"")</f>
        <v/>
      </c>
      <c r="F56" s="29">
        <f t="array" ref="F56">IFERROR(INDEX(competitors!$L$2:$L$101,MATCH(55,competitors!$R$2:$R$101,0)),"")</f>
        <v/>
      </c>
      <c r="G56" s="29">
        <f>IF(B56="","",COUNTIFS(competitors!$C$2:$C$101,B56,competitors!$D$2:$D$101,C56,competitors!$H$2:$H$101,D56,competitors!$I$2:$I$101,E56,competitors!$L$2:$L$101,F56,competitors!$E$2:$E$101,"한국"))</f>
        <v/>
      </c>
      <c r="H56" s="29">
        <f>IF(B56="","",COUNTIFS(competitors!$C$2:$C$101,B56,competitors!$D$2:$D$101,C56,competitors!$H$2:$H$101,D56,competitors!$I$2:$I$101,E56,competitors!$L$2:$L$101,F56))</f>
        <v/>
      </c>
      <c r="I56" s="29">
        <f>IF(B56="","",IF(G56&gt;=5,"많음",IF(G56&gt;=3,"중간",IF(G56&gt;=1,"적음",IF(H56&gt;=1,"가능","어려움")))))</f>
        <v/>
      </c>
      <c r="J56" s="29">
        <f t="array" ref="J56">IF(B56="","",TEXTJOIN(", ",TRUE(),IF((competitors!$C$2:$C$101=B56)*(competitors!$D$2:$D$101=C56)*(competitors!$H$2:$H$101=D56)*(competitors!$I$2:$I$101=E56)*(competitors!$L$2:$L$101=F56),competitors!$B$2:$B$101,"")))</f>
        <v/>
      </c>
      <c r="K56" s="25" t="n"/>
      <c r="L56" s="41">
        <f>IF(B56="","",TODAY())</f>
        <v/>
      </c>
    </row>
    <row r="57" ht="15.75" customHeight="1" s="42">
      <c r="A57" s="40">
        <f>IF(B57="","","BM"&amp;TEXT(ROW()-1,"000"))</f>
        <v/>
      </c>
      <c r="B57" s="29">
        <f t="array" ref="B57">IFERROR(INDEX(competitors!$C$2:$C$101,MATCH(56,competitors!$R$2:$R$101,0)),"")</f>
        <v/>
      </c>
      <c r="C57" s="29">
        <f t="array" ref="C57">IFERROR(INDEX(competitors!$D$2:$D$101,MATCH(56,competitors!$R$2:$R$101,0)),"")</f>
        <v/>
      </c>
      <c r="D57" s="29">
        <f t="array" ref="D57">IFERROR(INDEX(competitors!$H$2:$H$101,MATCH(56,competitors!$R$2:$R$101,0)),"")</f>
        <v/>
      </c>
      <c r="E57" s="29">
        <f t="array" ref="E57">IFERROR(INDEX(competitors!$I$2:$I$101,MATCH(56,competitors!$R$2:$R$101,0)),"")</f>
        <v/>
      </c>
      <c r="F57" s="29">
        <f t="array" ref="F57">IFERROR(INDEX(competitors!$L$2:$L$101,MATCH(56,competitors!$R$2:$R$101,0)),"")</f>
        <v/>
      </c>
      <c r="G57" s="29">
        <f>IF(B57="","",COUNTIFS(competitors!$C$2:$C$101,B57,competitors!$D$2:$D$101,C57,competitors!$H$2:$H$101,D57,competitors!$I$2:$I$101,E57,competitors!$L$2:$L$101,F57,competitors!$E$2:$E$101,"한국"))</f>
        <v/>
      </c>
      <c r="H57" s="29">
        <f>IF(B57="","",COUNTIFS(competitors!$C$2:$C$101,B57,competitors!$D$2:$D$101,C57,competitors!$H$2:$H$101,D57,competitors!$I$2:$I$101,E57,competitors!$L$2:$L$101,F57))</f>
        <v/>
      </c>
      <c r="I57" s="29">
        <f>IF(B57="","",IF(G57&gt;=5,"많음",IF(G57&gt;=3,"중간",IF(G57&gt;=1,"적음",IF(H57&gt;=1,"가능","어려움")))))</f>
        <v/>
      </c>
      <c r="J57" s="29">
        <f t="array" ref="J57">IF(B57="","",TEXTJOIN(", ",TRUE(),IF((competitors!$C$2:$C$101=B57)*(competitors!$D$2:$D$101=C57)*(competitors!$H$2:$H$101=D57)*(competitors!$I$2:$I$101=E57)*(competitors!$L$2:$L$101=F57),competitors!$B$2:$B$101,"")))</f>
        <v/>
      </c>
      <c r="K57" s="25" t="n"/>
      <c r="L57" s="41">
        <f>IF(B57="","",TODAY())</f>
        <v/>
      </c>
    </row>
    <row r="58" ht="15.75" customHeight="1" s="42">
      <c r="A58" s="40">
        <f>IF(B58="","","BM"&amp;TEXT(ROW()-1,"000"))</f>
        <v/>
      </c>
      <c r="B58" s="29">
        <f t="array" ref="B58">IFERROR(INDEX(competitors!$C$2:$C$101,MATCH(57,competitors!$R$2:$R$101,0)),"")</f>
        <v/>
      </c>
      <c r="C58" s="29">
        <f t="array" ref="C58">IFERROR(INDEX(competitors!$D$2:$D$101,MATCH(57,competitors!$R$2:$R$101,0)),"")</f>
        <v/>
      </c>
      <c r="D58" s="29">
        <f t="array" ref="D58">IFERROR(INDEX(competitors!$H$2:$H$101,MATCH(57,competitors!$R$2:$R$101,0)),"")</f>
        <v/>
      </c>
      <c r="E58" s="29">
        <f t="array" ref="E58">IFERROR(INDEX(competitors!$I$2:$I$101,MATCH(57,competitors!$R$2:$R$101,0)),"")</f>
        <v/>
      </c>
      <c r="F58" s="29">
        <f t="array" ref="F58">IFERROR(INDEX(competitors!$L$2:$L$101,MATCH(57,competitors!$R$2:$R$101,0)),"")</f>
        <v/>
      </c>
      <c r="G58" s="29">
        <f>IF(B58="","",COUNTIFS(competitors!$C$2:$C$101,B58,competitors!$D$2:$D$101,C58,competitors!$H$2:$H$101,D58,competitors!$I$2:$I$101,E58,competitors!$L$2:$L$101,F58,competitors!$E$2:$E$101,"한국"))</f>
        <v/>
      </c>
      <c r="H58" s="29">
        <f>IF(B58="","",COUNTIFS(competitors!$C$2:$C$101,B58,competitors!$D$2:$D$101,C58,competitors!$H$2:$H$101,D58,competitors!$I$2:$I$101,E58,competitors!$L$2:$L$101,F58))</f>
        <v/>
      </c>
      <c r="I58" s="29">
        <f>IF(B58="","",IF(G58&gt;=5,"많음",IF(G58&gt;=3,"중간",IF(G58&gt;=1,"적음",IF(H58&gt;=1,"가능","어려움")))))</f>
        <v/>
      </c>
      <c r="J58" s="29">
        <f t="array" ref="J58">IF(B58="","",TEXTJOIN(", ",TRUE(),IF((competitors!$C$2:$C$101=B58)*(competitors!$D$2:$D$101=C58)*(competitors!$H$2:$H$101=D58)*(competitors!$I$2:$I$101=E58)*(competitors!$L$2:$L$101=F58),competitors!$B$2:$B$101,"")))</f>
        <v/>
      </c>
      <c r="K58" s="25" t="n"/>
      <c r="L58" s="41">
        <f>IF(B58="","",TODAY())</f>
        <v/>
      </c>
    </row>
    <row r="59" ht="15.75" customHeight="1" s="42">
      <c r="A59" s="40">
        <f>IF(B59="","","BM"&amp;TEXT(ROW()-1,"000"))</f>
        <v/>
      </c>
      <c r="B59" s="29">
        <f t="array" ref="B59">IFERROR(INDEX(competitors!$C$2:$C$101,MATCH(58,competitors!$R$2:$R$101,0)),"")</f>
        <v/>
      </c>
      <c r="C59" s="29">
        <f t="array" ref="C59">IFERROR(INDEX(competitors!$D$2:$D$101,MATCH(58,competitors!$R$2:$R$101,0)),"")</f>
        <v/>
      </c>
      <c r="D59" s="29">
        <f t="array" ref="D59">IFERROR(INDEX(competitors!$H$2:$H$101,MATCH(58,competitors!$R$2:$R$101,0)),"")</f>
        <v/>
      </c>
      <c r="E59" s="29">
        <f t="array" ref="E59">IFERROR(INDEX(competitors!$I$2:$I$101,MATCH(58,competitors!$R$2:$R$101,0)),"")</f>
        <v/>
      </c>
      <c r="F59" s="29">
        <f t="array" ref="F59">IFERROR(INDEX(competitors!$L$2:$L$101,MATCH(58,competitors!$R$2:$R$101,0)),"")</f>
        <v/>
      </c>
      <c r="G59" s="29">
        <f>IF(B59="","",COUNTIFS(competitors!$C$2:$C$101,B59,competitors!$D$2:$D$101,C59,competitors!$H$2:$H$101,D59,competitors!$I$2:$I$101,E59,competitors!$L$2:$L$101,F59,competitors!$E$2:$E$101,"한국"))</f>
        <v/>
      </c>
      <c r="H59" s="29">
        <f>IF(B59="","",COUNTIFS(competitors!$C$2:$C$101,B59,competitors!$D$2:$D$101,C59,competitors!$H$2:$H$101,D59,competitors!$I$2:$I$101,E59,competitors!$L$2:$L$101,F59))</f>
        <v/>
      </c>
      <c r="I59" s="29">
        <f>IF(B59="","",IF(G59&gt;=5,"많음",IF(G59&gt;=3,"중간",IF(G59&gt;=1,"적음",IF(H59&gt;=1,"가능","어려움")))))</f>
        <v/>
      </c>
      <c r="J59" s="29">
        <f t="array" ref="J59">IF(B59="","",TEXTJOIN(", ",TRUE(),IF((competitors!$C$2:$C$101=B59)*(competitors!$D$2:$D$101=C59)*(competitors!$H$2:$H$101=D59)*(competitors!$I$2:$I$101=E59)*(competitors!$L$2:$L$101=F59),competitors!$B$2:$B$101,"")))</f>
        <v/>
      </c>
      <c r="K59" s="25" t="n"/>
      <c r="L59" s="41">
        <f>IF(B59="","",TODAY())</f>
        <v/>
      </c>
    </row>
    <row r="60" ht="15.75" customHeight="1" s="42">
      <c r="A60" s="40">
        <f>IF(B60="","","BM"&amp;TEXT(ROW()-1,"000"))</f>
        <v/>
      </c>
      <c r="B60" s="29">
        <f t="array" ref="B60">IFERROR(INDEX(competitors!$C$2:$C$101,MATCH(59,competitors!$R$2:$R$101,0)),"")</f>
        <v/>
      </c>
      <c r="C60" s="29">
        <f t="array" ref="C60">IFERROR(INDEX(competitors!$D$2:$D$101,MATCH(59,competitors!$R$2:$R$101,0)),"")</f>
        <v/>
      </c>
      <c r="D60" s="29">
        <f t="array" ref="D60">IFERROR(INDEX(competitors!$H$2:$H$101,MATCH(59,competitors!$R$2:$R$101,0)),"")</f>
        <v/>
      </c>
      <c r="E60" s="29">
        <f t="array" ref="E60">IFERROR(INDEX(competitors!$I$2:$I$101,MATCH(59,competitors!$R$2:$R$101,0)),"")</f>
        <v/>
      </c>
      <c r="F60" s="29">
        <f t="array" ref="F60">IFERROR(INDEX(competitors!$L$2:$L$101,MATCH(59,competitors!$R$2:$R$101,0)),"")</f>
        <v/>
      </c>
      <c r="G60" s="29">
        <f>IF(B60="","",COUNTIFS(competitors!$C$2:$C$101,B60,competitors!$D$2:$D$101,C60,competitors!$H$2:$H$101,D60,competitors!$I$2:$I$101,E60,competitors!$L$2:$L$101,F60,competitors!$E$2:$E$101,"한국"))</f>
        <v/>
      </c>
      <c r="H60" s="29">
        <f>IF(B60="","",COUNTIFS(competitors!$C$2:$C$101,B60,competitors!$D$2:$D$101,C60,competitors!$H$2:$H$101,D60,competitors!$I$2:$I$101,E60,competitors!$L$2:$L$101,F60))</f>
        <v/>
      </c>
      <c r="I60" s="29">
        <f>IF(B60="","",IF(G60&gt;=5,"많음",IF(G60&gt;=3,"중간",IF(G60&gt;=1,"적음",IF(H60&gt;=1,"가능","어려움")))))</f>
        <v/>
      </c>
      <c r="J60" s="29">
        <f t="array" ref="J60">IF(B60="","",TEXTJOIN(", ",TRUE(),IF((competitors!$C$2:$C$101=B60)*(competitors!$D$2:$D$101=C60)*(competitors!$H$2:$H$101=D60)*(competitors!$I$2:$I$101=E60)*(competitors!$L$2:$L$101=F60),competitors!$B$2:$B$101,"")))</f>
        <v/>
      </c>
      <c r="K60" s="25" t="n"/>
      <c r="L60" s="41">
        <f>IF(B60="","",TODAY())</f>
        <v/>
      </c>
    </row>
    <row r="61" ht="15.75" customHeight="1" s="42">
      <c r="A61" s="40">
        <f>IF(B61="","","BM"&amp;TEXT(ROW()-1,"000"))</f>
        <v/>
      </c>
      <c r="B61" s="29">
        <f t="array" ref="B61">IFERROR(INDEX(competitors!$C$2:$C$101,MATCH(60,competitors!$R$2:$R$101,0)),"")</f>
        <v/>
      </c>
      <c r="C61" s="29">
        <f t="array" ref="C61">IFERROR(INDEX(competitors!$D$2:$D$101,MATCH(60,competitors!$R$2:$R$101,0)),"")</f>
        <v/>
      </c>
      <c r="D61" s="29">
        <f t="array" ref="D61">IFERROR(INDEX(competitors!$H$2:$H$101,MATCH(60,competitors!$R$2:$R$101,0)),"")</f>
        <v/>
      </c>
      <c r="E61" s="29">
        <f t="array" ref="E61">IFERROR(INDEX(competitors!$I$2:$I$101,MATCH(60,competitors!$R$2:$R$101,0)),"")</f>
        <v/>
      </c>
      <c r="F61" s="29">
        <f t="array" ref="F61">IFERROR(INDEX(competitors!$L$2:$L$101,MATCH(60,competitors!$R$2:$R$101,0)),"")</f>
        <v/>
      </c>
      <c r="G61" s="29">
        <f>IF(B61="","",COUNTIFS(competitors!$C$2:$C$101,B61,competitors!$D$2:$D$101,C61,competitors!$H$2:$H$101,D61,competitors!$I$2:$I$101,E61,competitors!$L$2:$L$101,F61,competitors!$E$2:$E$101,"한국"))</f>
        <v/>
      </c>
      <c r="H61" s="29">
        <f>IF(B61="","",COUNTIFS(competitors!$C$2:$C$101,B61,competitors!$D$2:$D$101,C61,competitors!$H$2:$H$101,D61,competitors!$I$2:$I$101,E61,competitors!$L$2:$L$101,F61))</f>
        <v/>
      </c>
      <c r="I61" s="29">
        <f>IF(B61="","",IF(G61&gt;=5,"많음",IF(G61&gt;=3,"중간",IF(G61&gt;=1,"적음",IF(H61&gt;=1,"가능","어려움")))))</f>
        <v/>
      </c>
      <c r="J61" s="29">
        <f t="array" ref="J61">IF(B61="","",TEXTJOIN(", ",TRUE(),IF((competitors!$C$2:$C$101=B61)*(competitors!$D$2:$D$101=C61)*(competitors!$H$2:$H$101=D61)*(competitors!$I$2:$I$101=E61)*(competitors!$L$2:$L$101=F61),competitors!$B$2:$B$101,"")))</f>
        <v/>
      </c>
      <c r="K61" s="25" t="n"/>
      <c r="L61" s="41">
        <f>IF(B61="","",TODAY())</f>
        <v/>
      </c>
    </row>
    <row r="62" ht="15.75" customHeight="1" s="42"/>
    <row r="63" ht="15.75" customHeight="1" s="42"/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2026-10-24T01:22:21Z</dcterms:created>
  <dcterms:modified xmlns:dcterms="http://purl.org/dc/terms/" xmlns:xsi="http://www.w3.org/2001/XMLSchema-instance" xsi:type="dcterms:W3CDTF">2026-10-24T01:22:21Z</dcterms:modified>
</cp:coreProperties>
</file>